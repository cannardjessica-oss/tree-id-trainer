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bcloud-my.sharepoint.com/personal/x3fl3_unb_ca/Documents/Documents/FOR 1001/"/>
    </mc:Choice>
  </mc:AlternateContent>
  <xr:revisionPtr revIDLastSave="484" documentId="8_{F7AC33FB-AA50-4B42-AADC-34AF58930F6F}" xr6:coauthVersionLast="47" xr6:coauthVersionMax="47" xr10:uidLastSave="{421A98AD-7AFE-4FD3-A1DF-C24CAAD704A1}"/>
  <bookViews>
    <workbookView xWindow="-96" yWindow="0" windowWidth="11712" windowHeight="13776" activeTab="1" xr2:uid="{EA71000F-CB10-4289-90B7-B1F39D2C5994}"/>
    <workbookView xWindow="11424" yWindow="0" windowWidth="11712" windowHeight="13776" xr2:uid="{5B6BA50D-BE69-4DFC-A11A-3BEEDDE7D62C}"/>
  </bookViews>
  <sheets>
    <sheet name="FOR1001 Trees (2)" sheetId="2" r:id="rId1"/>
    <sheet name="Groups " sheetId="3" r:id="rId2"/>
    <sheet name="FOR1001 Tre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25C72B-8235-4F38-955B-5413B29652BB}" keepAlive="1" name="Query - unb trees" description="Connection to the 'unb trees' query in the workbook." type="5" refreshedVersion="7" background="1" saveData="1">
    <dbPr connection="Provider=Microsoft.Mashup.OleDb.1;Data Source=$Workbook$;Location=&quot;unb trees&quot;;Extended Properties=&quot;&quot;" command="SELECT * FROM [unb trees]"/>
  </connection>
</connections>
</file>

<file path=xl/sharedStrings.xml><?xml version="1.0" encoding="utf-8"?>
<sst xmlns="http://schemas.openxmlformats.org/spreadsheetml/2006/main" count="619" uniqueCount="298">
  <si>
    <t>26-27</t>
  </si>
  <si>
    <t>44-45</t>
  </si>
  <si>
    <t>56-57</t>
  </si>
  <si>
    <t>Red Pine</t>
  </si>
  <si>
    <t>58-59</t>
  </si>
  <si>
    <t>Jack Pine</t>
  </si>
  <si>
    <t>74-75</t>
  </si>
  <si>
    <t>84-85</t>
  </si>
  <si>
    <t>Balsam Fir</t>
  </si>
  <si>
    <t>White Spruce</t>
  </si>
  <si>
    <t>102-103</t>
  </si>
  <si>
    <t>Red Spruce</t>
  </si>
  <si>
    <t>104-105</t>
  </si>
  <si>
    <t>Black Spruce</t>
  </si>
  <si>
    <t>106-107</t>
  </si>
  <si>
    <t>Norway Spruce</t>
  </si>
  <si>
    <t>Eastern Hemlock</t>
  </si>
  <si>
    <t>120-121</t>
  </si>
  <si>
    <t>Sugar Maple</t>
  </si>
  <si>
    <t>Red Maple</t>
  </si>
  <si>
    <t>140-141</t>
  </si>
  <si>
    <t>Silver Maple</t>
  </si>
  <si>
    <t>142-143</t>
  </si>
  <si>
    <t>Manitoba Maple</t>
  </si>
  <si>
    <t>144-145</t>
  </si>
  <si>
    <t>Mountain Maple</t>
  </si>
  <si>
    <t>146-147</t>
  </si>
  <si>
    <t>Striped Maple</t>
  </si>
  <si>
    <t>148-149</t>
  </si>
  <si>
    <t>Norway Maple</t>
  </si>
  <si>
    <t>White Ash</t>
  </si>
  <si>
    <t>162-163</t>
  </si>
  <si>
    <t>164-165</t>
  </si>
  <si>
    <t>Butternut</t>
  </si>
  <si>
    <t>198-199</t>
  </si>
  <si>
    <t>Staghorn Sumac</t>
  </si>
  <si>
    <t>226-227</t>
  </si>
  <si>
    <t>Red Oak</t>
  </si>
  <si>
    <t>248-249</t>
  </si>
  <si>
    <t>American Beech</t>
  </si>
  <si>
    <t>268-269</t>
  </si>
  <si>
    <t>Basswood</t>
  </si>
  <si>
    <t>White Birch</t>
  </si>
  <si>
    <t>Gray Birch</t>
  </si>
  <si>
    <t>288-289</t>
  </si>
  <si>
    <t>Yellow Birch</t>
  </si>
  <si>
    <t>Speckled Alder</t>
  </si>
  <si>
    <t>300-301</t>
  </si>
  <si>
    <t>Ironwood</t>
  </si>
  <si>
    <t>308-309</t>
  </si>
  <si>
    <t>Balsam Poplar</t>
  </si>
  <si>
    <t>340-341</t>
  </si>
  <si>
    <t>Trembling Aspen</t>
  </si>
  <si>
    <t>346-347</t>
  </si>
  <si>
    <t>Largetooth Aspen</t>
  </si>
  <si>
    <t>348-349</t>
  </si>
  <si>
    <t>White Elm</t>
  </si>
  <si>
    <t>354-355</t>
  </si>
  <si>
    <t>Pin Cherry</t>
  </si>
  <si>
    <t>376-377</t>
  </si>
  <si>
    <t>Choke Cherry</t>
  </si>
  <si>
    <t>382-383</t>
  </si>
  <si>
    <t>Common Name</t>
  </si>
  <si>
    <t>Eastern White Pine</t>
  </si>
  <si>
    <t>Thuja occidentalis</t>
  </si>
  <si>
    <t>Pinus strobus</t>
  </si>
  <si>
    <t>Pinus resinosa</t>
  </si>
  <si>
    <t>Pinus banksiana</t>
  </si>
  <si>
    <t>Larix laricina</t>
  </si>
  <si>
    <t>Abies balsamea</t>
  </si>
  <si>
    <t>Picea glauca</t>
  </si>
  <si>
    <t>Picea rubens</t>
  </si>
  <si>
    <t>Picea abies</t>
  </si>
  <si>
    <t>Tsuga canadensis</t>
  </si>
  <si>
    <t>Acer saccharum</t>
  </si>
  <si>
    <t>Acer rubrum</t>
  </si>
  <si>
    <t>Acer saccharinum</t>
  </si>
  <si>
    <t>Acer negundo</t>
  </si>
  <si>
    <t>Acer spicatum</t>
  </si>
  <si>
    <t>Acer pensylvanicum</t>
  </si>
  <si>
    <t>Acer platanoides</t>
  </si>
  <si>
    <t>Fraxinus americana</t>
  </si>
  <si>
    <t>Juglans cinerea</t>
  </si>
  <si>
    <t>Sorbus americana</t>
  </si>
  <si>
    <t>Rhus typhina</t>
  </si>
  <si>
    <t>Quercus rubra</t>
  </si>
  <si>
    <t>Tilia americana</t>
  </si>
  <si>
    <t>Fagus grandifolia</t>
  </si>
  <si>
    <t>Betula papyrifera</t>
  </si>
  <si>
    <t>Betula populifolia</t>
  </si>
  <si>
    <t>Alnus incana</t>
  </si>
  <si>
    <t>Ostrya virginiana</t>
  </si>
  <si>
    <t>Populus balsamifera</t>
  </si>
  <si>
    <t>Populus tremuloides</t>
  </si>
  <si>
    <t>Populus grandidentata</t>
  </si>
  <si>
    <t>Ulmus americana</t>
  </si>
  <si>
    <t>Prunus pensylvanica</t>
  </si>
  <si>
    <t>Prunus virginiana</t>
  </si>
  <si>
    <t>Trees in Canada Page</t>
  </si>
  <si>
    <t>SpeciesID</t>
  </si>
  <si>
    <t>Picea mariana</t>
  </si>
  <si>
    <t>Fraxinus pennsylvanica</t>
  </si>
  <si>
    <t>HH</t>
  </si>
  <si>
    <t>WC</t>
  </si>
  <si>
    <t>WP</t>
  </si>
  <si>
    <t>MA</t>
  </si>
  <si>
    <t>RP</t>
  </si>
  <si>
    <t>JP</t>
  </si>
  <si>
    <t>BF</t>
  </si>
  <si>
    <t>WS</t>
  </si>
  <si>
    <t>RS</t>
  </si>
  <si>
    <t>BS</t>
  </si>
  <si>
    <t>NS</t>
  </si>
  <si>
    <t>EH</t>
  </si>
  <si>
    <t>SM</t>
  </si>
  <si>
    <t>RM</t>
  </si>
  <si>
    <t>MM</t>
  </si>
  <si>
    <t>NM</t>
  </si>
  <si>
    <t>WA</t>
  </si>
  <si>
    <t>RO</t>
  </si>
  <si>
    <t>AB</t>
  </si>
  <si>
    <t>WB</t>
  </si>
  <si>
    <t>GB</t>
  </si>
  <si>
    <t>YB</t>
  </si>
  <si>
    <t>BP</t>
  </si>
  <si>
    <t>TL</t>
  </si>
  <si>
    <t>SV</t>
  </si>
  <si>
    <t>ST</t>
  </si>
  <si>
    <t>BN</t>
  </si>
  <si>
    <t>BW</t>
  </si>
  <si>
    <t>AL</t>
  </si>
  <si>
    <t>QA</t>
  </si>
  <si>
    <t>BT</t>
  </si>
  <si>
    <t>AE</t>
  </si>
  <si>
    <t>CC</t>
  </si>
  <si>
    <t>PR</t>
  </si>
  <si>
    <t>SU</t>
  </si>
  <si>
    <t>MN</t>
  </si>
  <si>
    <t>Species Codes</t>
  </si>
  <si>
    <t>Betula alleghaniensis</t>
  </si>
  <si>
    <r>
      <t xml:space="preserve">Willow </t>
    </r>
    <r>
      <rPr>
        <i/>
        <sz val="11"/>
        <color theme="1"/>
        <rFont val="Calibri"/>
        <family val="2"/>
        <scheme val="minor"/>
      </rPr>
      <t>species</t>
    </r>
  </si>
  <si>
    <t>WL</t>
  </si>
  <si>
    <r>
      <rPr>
        <i/>
        <sz val="11"/>
        <color theme="1"/>
        <rFont val="Calibri"/>
        <family val="2"/>
        <scheme val="minor"/>
      </rPr>
      <t>Salix</t>
    </r>
    <r>
      <rPr>
        <sz val="11"/>
        <color theme="1"/>
        <rFont val="Calibri"/>
        <family val="2"/>
        <scheme val="minor"/>
      </rPr>
      <t xml:space="preserve"> spp.</t>
    </r>
  </si>
  <si>
    <t>Green Ash</t>
  </si>
  <si>
    <t>SNAG</t>
  </si>
  <si>
    <t>Standing Dead Tree</t>
  </si>
  <si>
    <t>Bur Oak</t>
  </si>
  <si>
    <t>Quercus macrocarpa</t>
  </si>
  <si>
    <t>BR</t>
  </si>
  <si>
    <t>134-135</t>
  </si>
  <si>
    <t>Tamarack</t>
  </si>
  <si>
    <t>Latin Name</t>
  </si>
  <si>
    <t>GA</t>
  </si>
  <si>
    <t>American Mountain-Ash</t>
  </si>
  <si>
    <t>Eastern White-Cedar</t>
  </si>
  <si>
    <t>294-295</t>
  </si>
  <si>
    <t>284-285</t>
  </si>
  <si>
    <t>Black Locust</t>
  </si>
  <si>
    <t>BL</t>
  </si>
  <si>
    <t>Robinia pseudoacacia</t>
  </si>
  <si>
    <t>Type</t>
  </si>
  <si>
    <t>Gymno</t>
  </si>
  <si>
    <t>Angio</t>
  </si>
  <si>
    <t>Native/ Introduced</t>
  </si>
  <si>
    <t>N</t>
  </si>
  <si>
    <t>I</t>
  </si>
  <si>
    <t>Group 1</t>
  </si>
  <si>
    <t>Group 3</t>
  </si>
  <si>
    <t>Group 4</t>
  </si>
  <si>
    <t>Group 5</t>
  </si>
  <si>
    <t>Group 8</t>
  </si>
  <si>
    <t>Group 9</t>
  </si>
  <si>
    <t>Group 10</t>
  </si>
  <si>
    <t>Group 11</t>
  </si>
  <si>
    <t xml:space="preserve">Needles evergreen, in bundles of 2,3, or 5; seeds in cones </t>
  </si>
  <si>
    <t xml:space="preserve">Needles deciduous (or evergreen), in tufts of 10 or more on dwarf shoots, also single on long shootsl seeds in cones </t>
  </si>
  <si>
    <t xml:space="preserve">Needles evergreen, single, flat or 4-sided; seeds in cones </t>
  </si>
  <si>
    <t>Leaves in opposite pairs (or sub opposite or whorled); blade simple or compound; edges lobed, toothed, or smooth</t>
  </si>
  <si>
    <t>Leaves alternate, compound (divided into 3 or more leaflets)</t>
  </si>
  <si>
    <t>Leaves alternate, simple; edges lobed</t>
  </si>
  <si>
    <t xml:space="preserve">Leaves alternate, simple; edges toothed </t>
  </si>
  <si>
    <t>Norway Spruce, Picea abies</t>
  </si>
  <si>
    <t>Norway Maple, Acer platanoides</t>
  </si>
  <si>
    <t>Black Locust, Robinia pseudoacacia</t>
  </si>
  <si>
    <t>American Mountain-Ash, Sorbus americana</t>
  </si>
  <si>
    <t>Bur Oak, Quercus macrocarpa</t>
  </si>
  <si>
    <t>Basswood, Tilia americana</t>
  </si>
  <si>
    <t>Willow species, Salix spp.</t>
  </si>
  <si>
    <t>White Spruce, Picea glauca</t>
  </si>
  <si>
    <t>Red Spruce, Picea rubens</t>
  </si>
  <si>
    <t>Black Spruce, Picea mariana</t>
  </si>
  <si>
    <t>Eastern Hemlock, Tsuga canadensis</t>
  </si>
  <si>
    <t>Sugar Maple, Acer saccharum</t>
  </si>
  <si>
    <t>Red Maple, Acer rubrum</t>
  </si>
  <si>
    <t>Silver Maple, Acer saccharinum</t>
  </si>
  <si>
    <t>Manitoba Maple, Acer negundo</t>
  </si>
  <si>
    <t>Mountain Maple, Acer spicatum</t>
  </si>
  <si>
    <t>Striped Maple, Acer pensylvanicum</t>
  </si>
  <si>
    <t>White Ash, Fraxinus americana</t>
  </si>
  <si>
    <t>Green Ash, Fraxinus pennsylvanica</t>
  </si>
  <si>
    <t>Butternut, Juglans cinerea</t>
  </si>
  <si>
    <t>Staghorn Sumac, Rhus typhina</t>
  </si>
  <si>
    <t>Red Oak, Quercus rubra</t>
  </si>
  <si>
    <t>Eastern White-Cedar, Thuja occidentalis</t>
  </si>
  <si>
    <t>American Beech, Fagus grandifolia</t>
  </si>
  <si>
    <t>White Birch, Betula papyrifera</t>
  </si>
  <si>
    <t>Gray Birch, Betula populifolia</t>
  </si>
  <si>
    <t>Yellow Birch, Betula alleghaniensis</t>
  </si>
  <si>
    <t>Speckled Alder, Alnus incana</t>
  </si>
  <si>
    <t>Ironwood, Ostrya virginiana</t>
  </si>
  <si>
    <t>Balsam Poplar, Populus balsamifera</t>
  </si>
  <si>
    <t>Trembling Aspen, Populus tremuloides</t>
  </si>
  <si>
    <t>Largetooth Aspen, Populus grandidentata</t>
  </si>
  <si>
    <t>White Elm, Ulmus americana</t>
  </si>
  <si>
    <t>Pin Cherry, Prunus pensylvanica</t>
  </si>
  <si>
    <t>Choke Cherry, Prunus virginiana</t>
  </si>
  <si>
    <t>Eastern White Pine, Pinus strobus</t>
  </si>
  <si>
    <t>Red Pine, Pinus resinosa</t>
  </si>
  <si>
    <t>Jack Pine, Pinus banksiana</t>
  </si>
  <si>
    <t>Tamarack, Larix laricina</t>
  </si>
  <si>
    <t>Balsam Fir, Abies balsamea</t>
  </si>
  <si>
    <r>
      <rPr>
        <sz val="14"/>
        <color theme="1"/>
        <rFont val="Calibri"/>
        <family val="2"/>
        <scheme val="minor"/>
      </rPr>
      <t>Eastern White-Cedar</t>
    </r>
    <r>
      <rPr>
        <i/>
        <sz val="14"/>
        <color theme="1"/>
        <rFont val="Calibri"/>
        <family val="2"/>
        <scheme val="minor"/>
      </rPr>
      <t>, Thuja occidentalis</t>
    </r>
  </si>
  <si>
    <r>
      <rPr>
        <sz val="14"/>
        <color theme="1"/>
        <rFont val="Calibri"/>
        <family val="2"/>
        <scheme val="minor"/>
      </rPr>
      <t>Eastern White Pine</t>
    </r>
    <r>
      <rPr>
        <i/>
        <sz val="14"/>
        <color theme="1"/>
        <rFont val="Calibri"/>
        <family val="2"/>
        <scheme val="minor"/>
      </rPr>
      <t>, Pinus strobus</t>
    </r>
  </si>
  <si>
    <r>
      <rPr>
        <sz val="14"/>
        <color theme="1"/>
        <rFont val="Calibri"/>
        <family val="2"/>
        <scheme val="minor"/>
      </rPr>
      <t>Tamarack</t>
    </r>
    <r>
      <rPr>
        <i/>
        <sz val="14"/>
        <color theme="1"/>
        <rFont val="Calibri"/>
        <family val="2"/>
        <scheme val="minor"/>
      </rPr>
      <t>, Larix laricina</t>
    </r>
  </si>
  <si>
    <r>
      <rPr>
        <sz val="14"/>
        <color theme="1"/>
        <rFont val="Calibri"/>
        <family val="2"/>
        <scheme val="minor"/>
      </rPr>
      <t>Norway Spruce</t>
    </r>
    <r>
      <rPr>
        <i/>
        <sz val="14"/>
        <color theme="1"/>
        <rFont val="Calibri"/>
        <family val="2"/>
        <scheme val="minor"/>
      </rPr>
      <t>, Picea abies</t>
    </r>
  </si>
  <si>
    <r>
      <rPr>
        <sz val="14"/>
        <color theme="1"/>
        <rFont val="Calibri"/>
        <family val="2"/>
        <scheme val="minor"/>
      </rPr>
      <t>Norway Maple</t>
    </r>
    <r>
      <rPr>
        <i/>
        <sz val="14"/>
        <color theme="1"/>
        <rFont val="Calibri"/>
        <family val="2"/>
        <scheme val="minor"/>
      </rPr>
      <t>, Acer platanoides</t>
    </r>
  </si>
  <si>
    <r>
      <t xml:space="preserve">Black Locust, </t>
    </r>
    <r>
      <rPr>
        <i/>
        <sz val="14"/>
        <color theme="1"/>
        <rFont val="Calibri"/>
        <family val="2"/>
        <scheme val="minor"/>
      </rPr>
      <t>Robinia pseudoacacia</t>
    </r>
  </si>
  <si>
    <r>
      <rPr>
        <sz val="14"/>
        <color theme="1"/>
        <rFont val="Calibri"/>
        <family val="2"/>
        <scheme val="minor"/>
      </rPr>
      <t>Bur Oak,</t>
    </r>
    <r>
      <rPr>
        <i/>
        <sz val="14"/>
        <color theme="1"/>
        <rFont val="Calibri"/>
        <family val="2"/>
        <scheme val="minor"/>
      </rPr>
      <t xml:space="preserve"> Quercus macrocarpa</t>
    </r>
  </si>
  <si>
    <r>
      <rPr>
        <sz val="14"/>
        <color theme="1"/>
        <rFont val="Calibri"/>
        <family val="2"/>
        <scheme val="minor"/>
      </rPr>
      <t>Basswood</t>
    </r>
    <r>
      <rPr>
        <i/>
        <sz val="14"/>
        <color theme="1"/>
        <rFont val="Calibri"/>
        <family val="2"/>
        <scheme val="minor"/>
      </rPr>
      <t>, Tilia americana</t>
    </r>
  </si>
  <si>
    <r>
      <rPr>
        <sz val="14"/>
        <color theme="1"/>
        <rFont val="Calibri"/>
        <family val="2"/>
        <scheme val="minor"/>
      </rPr>
      <t>Red Pine</t>
    </r>
    <r>
      <rPr>
        <i/>
        <sz val="14"/>
        <color theme="1"/>
        <rFont val="Calibri"/>
        <family val="2"/>
        <scheme val="minor"/>
      </rPr>
      <t>, Pinus resinosa</t>
    </r>
  </si>
  <si>
    <r>
      <t xml:space="preserve">White Spruce, </t>
    </r>
    <r>
      <rPr>
        <i/>
        <sz val="14"/>
        <color theme="1"/>
        <rFont val="Calibri"/>
        <family val="2"/>
        <scheme val="minor"/>
      </rPr>
      <t>Picea glauca</t>
    </r>
  </si>
  <si>
    <r>
      <rPr>
        <sz val="14"/>
        <color theme="1"/>
        <rFont val="Calibri"/>
        <family val="2"/>
        <scheme val="minor"/>
      </rPr>
      <t>Sugar Maple</t>
    </r>
    <r>
      <rPr>
        <i/>
        <sz val="14"/>
        <color theme="1"/>
        <rFont val="Calibri"/>
        <family val="2"/>
        <scheme val="minor"/>
      </rPr>
      <t>, Acer saccharum</t>
    </r>
  </si>
  <si>
    <r>
      <rPr>
        <sz val="14"/>
        <color theme="1"/>
        <rFont val="Calibri"/>
        <family val="2"/>
        <scheme val="minor"/>
      </rPr>
      <t>American Mountain-Ash</t>
    </r>
    <r>
      <rPr>
        <i/>
        <sz val="14"/>
        <color theme="1"/>
        <rFont val="Calibri"/>
        <family val="2"/>
        <scheme val="minor"/>
      </rPr>
      <t>, Sorbus americana</t>
    </r>
  </si>
  <si>
    <r>
      <rPr>
        <sz val="14"/>
        <color theme="1"/>
        <rFont val="Calibri"/>
        <family val="2"/>
        <scheme val="minor"/>
      </rPr>
      <t>Red Oak</t>
    </r>
    <r>
      <rPr>
        <i/>
        <sz val="14"/>
        <color theme="1"/>
        <rFont val="Calibri"/>
        <family val="2"/>
        <scheme val="minor"/>
      </rPr>
      <t>, Quercus rubra</t>
    </r>
  </si>
  <si>
    <r>
      <rPr>
        <sz val="14"/>
        <color theme="1"/>
        <rFont val="Calibri"/>
        <family val="2"/>
        <scheme val="minor"/>
      </rPr>
      <t>Willow species</t>
    </r>
    <r>
      <rPr>
        <i/>
        <sz val="14"/>
        <color theme="1"/>
        <rFont val="Calibri"/>
        <family val="2"/>
        <scheme val="minor"/>
      </rPr>
      <t>, Salix spp.</t>
    </r>
  </si>
  <si>
    <r>
      <rPr>
        <sz val="14"/>
        <color theme="1"/>
        <rFont val="Calibri"/>
        <family val="2"/>
        <scheme val="minor"/>
      </rPr>
      <t>Jack Pine</t>
    </r>
    <r>
      <rPr>
        <i/>
        <sz val="14"/>
        <color theme="1"/>
        <rFont val="Calibri"/>
        <family val="2"/>
        <scheme val="minor"/>
      </rPr>
      <t>, Pinus banksiana</t>
    </r>
  </si>
  <si>
    <r>
      <rPr>
        <sz val="14"/>
        <color theme="1"/>
        <rFont val="Calibri"/>
        <family val="2"/>
        <scheme val="minor"/>
      </rPr>
      <t>Red Spruce</t>
    </r>
    <r>
      <rPr>
        <i/>
        <sz val="14"/>
        <color theme="1"/>
        <rFont val="Calibri"/>
        <family val="2"/>
        <scheme val="minor"/>
      </rPr>
      <t>, Picea rubens</t>
    </r>
  </si>
  <si>
    <r>
      <rPr>
        <sz val="14"/>
        <color theme="1"/>
        <rFont val="Calibri"/>
        <family val="2"/>
        <scheme val="minor"/>
      </rPr>
      <t>Red Maple</t>
    </r>
    <r>
      <rPr>
        <i/>
        <sz val="14"/>
        <color theme="1"/>
        <rFont val="Calibri"/>
        <family val="2"/>
        <scheme val="minor"/>
      </rPr>
      <t>, Acer rubrum</t>
    </r>
  </si>
  <si>
    <r>
      <rPr>
        <sz val="14"/>
        <color theme="1"/>
        <rFont val="Calibri"/>
        <family val="2"/>
        <scheme val="minor"/>
      </rPr>
      <t>Butternut</t>
    </r>
    <r>
      <rPr>
        <i/>
        <sz val="14"/>
        <color theme="1"/>
        <rFont val="Calibri"/>
        <family val="2"/>
        <scheme val="minor"/>
      </rPr>
      <t>, Juglans cinerea</t>
    </r>
  </si>
  <si>
    <r>
      <rPr>
        <sz val="14"/>
        <color theme="1"/>
        <rFont val="Calibri"/>
        <family val="2"/>
        <scheme val="minor"/>
      </rPr>
      <t>American Beech</t>
    </r>
    <r>
      <rPr>
        <i/>
        <sz val="14"/>
        <color theme="1"/>
        <rFont val="Calibri"/>
        <family val="2"/>
        <scheme val="minor"/>
      </rPr>
      <t>, Fagus grandifolia</t>
    </r>
  </si>
  <si>
    <r>
      <rPr>
        <sz val="14"/>
        <color theme="1"/>
        <rFont val="Calibri"/>
        <family val="2"/>
        <scheme val="minor"/>
      </rPr>
      <t>Black Spruce</t>
    </r>
    <r>
      <rPr>
        <i/>
        <sz val="14"/>
        <color theme="1"/>
        <rFont val="Calibri"/>
        <family val="2"/>
        <scheme val="minor"/>
      </rPr>
      <t>, Picea mariana</t>
    </r>
  </si>
  <si>
    <r>
      <rPr>
        <sz val="14"/>
        <color theme="1"/>
        <rFont val="Calibri"/>
        <family val="2"/>
        <scheme val="minor"/>
      </rPr>
      <t>Silver Maple</t>
    </r>
    <r>
      <rPr>
        <i/>
        <sz val="14"/>
        <color theme="1"/>
        <rFont val="Calibri"/>
        <family val="2"/>
        <scheme val="minor"/>
      </rPr>
      <t>, Acer saccharinum</t>
    </r>
  </si>
  <si>
    <r>
      <rPr>
        <sz val="14"/>
        <color theme="1"/>
        <rFont val="Calibri"/>
        <family val="2"/>
        <scheme val="minor"/>
      </rPr>
      <t>Staghorn Sumac</t>
    </r>
    <r>
      <rPr>
        <i/>
        <sz val="14"/>
        <color theme="1"/>
        <rFont val="Calibri"/>
        <family val="2"/>
        <scheme val="minor"/>
      </rPr>
      <t>, Rhus typhina</t>
    </r>
  </si>
  <si>
    <r>
      <rPr>
        <sz val="14"/>
        <color theme="1"/>
        <rFont val="Calibri"/>
        <family val="2"/>
        <scheme val="minor"/>
      </rPr>
      <t>White Birch</t>
    </r>
    <r>
      <rPr>
        <i/>
        <sz val="14"/>
        <color theme="1"/>
        <rFont val="Calibri"/>
        <family val="2"/>
        <scheme val="minor"/>
      </rPr>
      <t>, Betula papyrifera</t>
    </r>
  </si>
  <si>
    <r>
      <rPr>
        <sz val="14"/>
        <color theme="1"/>
        <rFont val="Calibri"/>
        <family val="2"/>
        <scheme val="minor"/>
      </rPr>
      <t>Eastern Hemlock</t>
    </r>
    <r>
      <rPr>
        <i/>
        <sz val="14"/>
        <color theme="1"/>
        <rFont val="Calibri"/>
        <family val="2"/>
        <scheme val="minor"/>
      </rPr>
      <t>, Tsuga canadensis</t>
    </r>
  </si>
  <si>
    <r>
      <rPr>
        <sz val="14"/>
        <color theme="1"/>
        <rFont val="Calibri"/>
        <family val="2"/>
        <scheme val="minor"/>
      </rPr>
      <t>Manitoba Maple</t>
    </r>
    <r>
      <rPr>
        <i/>
        <sz val="14"/>
        <color theme="1"/>
        <rFont val="Calibri"/>
        <family val="2"/>
        <scheme val="minor"/>
      </rPr>
      <t>, Acer negundo</t>
    </r>
  </si>
  <si>
    <r>
      <rPr>
        <sz val="14"/>
        <color theme="1"/>
        <rFont val="Calibri"/>
        <family val="2"/>
        <scheme val="minor"/>
      </rPr>
      <t>Gray Birch</t>
    </r>
    <r>
      <rPr>
        <i/>
        <sz val="14"/>
        <color theme="1"/>
        <rFont val="Calibri"/>
        <family val="2"/>
        <scheme val="minor"/>
      </rPr>
      <t>, Betula populifolia</t>
    </r>
  </si>
  <si>
    <r>
      <rPr>
        <sz val="14"/>
        <color theme="1"/>
        <rFont val="Calibri"/>
        <family val="2"/>
        <scheme val="minor"/>
      </rPr>
      <t>Balsam Fir</t>
    </r>
    <r>
      <rPr>
        <i/>
        <sz val="14"/>
        <color theme="1"/>
        <rFont val="Calibri"/>
        <family val="2"/>
        <scheme val="minor"/>
      </rPr>
      <t>, Abies balsamea</t>
    </r>
  </si>
  <si>
    <r>
      <rPr>
        <sz val="14"/>
        <color theme="1"/>
        <rFont val="Calibri"/>
        <family val="2"/>
        <scheme val="minor"/>
      </rPr>
      <t>Mountain Maple</t>
    </r>
    <r>
      <rPr>
        <i/>
        <sz val="14"/>
        <color theme="1"/>
        <rFont val="Calibri"/>
        <family val="2"/>
        <scheme val="minor"/>
      </rPr>
      <t>, Acer spicatum</t>
    </r>
  </si>
  <si>
    <r>
      <rPr>
        <sz val="14"/>
        <color theme="1"/>
        <rFont val="Calibri"/>
        <family val="2"/>
        <scheme val="minor"/>
      </rPr>
      <t>Yellow Birch</t>
    </r>
    <r>
      <rPr>
        <i/>
        <sz val="14"/>
        <color theme="1"/>
        <rFont val="Calibri"/>
        <family val="2"/>
        <scheme val="minor"/>
      </rPr>
      <t>, Betula alleghaniensis</t>
    </r>
  </si>
  <si>
    <r>
      <rPr>
        <sz val="14"/>
        <color theme="1"/>
        <rFont val="Calibri"/>
        <family val="2"/>
        <scheme val="minor"/>
      </rPr>
      <t>Speckled Alder</t>
    </r>
    <r>
      <rPr>
        <i/>
        <sz val="14"/>
        <color theme="1"/>
        <rFont val="Calibri"/>
        <family val="2"/>
        <scheme val="minor"/>
      </rPr>
      <t>, Alnus incana</t>
    </r>
  </si>
  <si>
    <r>
      <rPr>
        <sz val="14"/>
        <color theme="1"/>
        <rFont val="Calibri"/>
        <family val="2"/>
        <scheme val="minor"/>
      </rPr>
      <t>White Ash</t>
    </r>
    <r>
      <rPr>
        <i/>
        <sz val="14"/>
        <color theme="1"/>
        <rFont val="Calibri"/>
        <family val="2"/>
        <scheme val="minor"/>
      </rPr>
      <t>, Fraxinus americana</t>
    </r>
  </si>
  <si>
    <r>
      <rPr>
        <sz val="14"/>
        <color theme="1"/>
        <rFont val="Calibri"/>
        <family val="2"/>
        <scheme val="minor"/>
      </rPr>
      <t>Ironwood,</t>
    </r>
    <r>
      <rPr>
        <i/>
        <sz val="14"/>
        <color theme="1"/>
        <rFont val="Calibri"/>
        <family val="2"/>
        <scheme val="minor"/>
      </rPr>
      <t xml:space="preserve"> Ostrya virginiana</t>
    </r>
  </si>
  <si>
    <r>
      <rPr>
        <sz val="14"/>
        <color theme="1"/>
        <rFont val="Calibri"/>
        <family val="2"/>
        <scheme val="minor"/>
      </rPr>
      <t>Green Ash</t>
    </r>
    <r>
      <rPr>
        <i/>
        <sz val="14"/>
        <color theme="1"/>
        <rFont val="Calibri"/>
        <family val="2"/>
        <scheme val="minor"/>
      </rPr>
      <t>, Fraxinus pennsylvanica</t>
    </r>
  </si>
  <si>
    <r>
      <rPr>
        <sz val="14"/>
        <color theme="1"/>
        <rFont val="Calibri"/>
        <family val="2"/>
        <scheme val="minor"/>
      </rPr>
      <t>Balsam Poplar,</t>
    </r>
    <r>
      <rPr>
        <i/>
        <sz val="14"/>
        <color theme="1"/>
        <rFont val="Calibri"/>
        <family val="2"/>
        <scheme val="minor"/>
      </rPr>
      <t xml:space="preserve"> Populus balsamifera</t>
    </r>
  </si>
  <si>
    <r>
      <rPr>
        <sz val="14"/>
        <color theme="1"/>
        <rFont val="Calibri"/>
        <family val="2"/>
        <scheme val="minor"/>
      </rPr>
      <t>Trembling Aspen,</t>
    </r>
    <r>
      <rPr>
        <i/>
        <sz val="14"/>
        <color theme="1"/>
        <rFont val="Calibri"/>
        <family val="2"/>
        <scheme val="minor"/>
      </rPr>
      <t xml:space="preserve"> Populus tremuloides</t>
    </r>
  </si>
  <si>
    <r>
      <rPr>
        <sz val="14"/>
        <color theme="1"/>
        <rFont val="Calibri"/>
        <family val="2"/>
        <scheme val="minor"/>
      </rPr>
      <t>Largetooth Aspen</t>
    </r>
    <r>
      <rPr>
        <i/>
        <sz val="14"/>
        <color theme="1"/>
        <rFont val="Calibri"/>
        <family val="2"/>
        <scheme val="minor"/>
      </rPr>
      <t>, Populus grandidentata</t>
    </r>
  </si>
  <si>
    <r>
      <rPr>
        <sz val="14"/>
        <color theme="1"/>
        <rFont val="Calibri"/>
        <family val="2"/>
        <scheme val="minor"/>
      </rPr>
      <t>White Elm,</t>
    </r>
    <r>
      <rPr>
        <i/>
        <sz val="14"/>
        <color theme="1"/>
        <rFont val="Calibri"/>
        <family val="2"/>
        <scheme val="minor"/>
      </rPr>
      <t xml:space="preserve"> Ulmus americana</t>
    </r>
  </si>
  <si>
    <r>
      <rPr>
        <sz val="14"/>
        <color theme="1"/>
        <rFont val="Calibri"/>
        <family val="2"/>
        <scheme val="minor"/>
      </rPr>
      <t>Pin Cherry,</t>
    </r>
    <r>
      <rPr>
        <i/>
        <sz val="14"/>
        <color theme="1"/>
        <rFont val="Calibri"/>
        <family val="2"/>
        <scheme val="minor"/>
      </rPr>
      <t xml:space="preserve"> Prunus pensylvanica</t>
    </r>
  </si>
  <si>
    <r>
      <rPr>
        <sz val="14"/>
        <color theme="1"/>
        <rFont val="Calibri"/>
        <family val="2"/>
        <scheme val="minor"/>
      </rPr>
      <t>Choke Cherry</t>
    </r>
    <r>
      <rPr>
        <i/>
        <sz val="14"/>
        <color theme="1"/>
        <rFont val="Calibri"/>
        <family val="2"/>
        <scheme val="minor"/>
      </rPr>
      <t>, Prunus virginiana</t>
    </r>
  </si>
  <si>
    <t>p. 26-27</t>
  </si>
  <si>
    <t xml:space="preserve">p. 44-45 </t>
  </si>
  <si>
    <t>p. 56-57</t>
  </si>
  <si>
    <t>p.58-59</t>
  </si>
  <si>
    <r>
      <t xml:space="preserve">Short needles or </t>
    </r>
    <r>
      <rPr>
        <b/>
        <sz val="14"/>
        <color theme="1"/>
        <rFont val="Calibri"/>
        <family val="2"/>
        <scheme val="minor"/>
      </rPr>
      <t>scales</t>
    </r>
    <r>
      <rPr>
        <sz val="14"/>
        <color theme="1"/>
        <rFont val="Calibri"/>
        <family val="2"/>
        <scheme val="minor"/>
      </rPr>
      <t>, evergreen; closely spaced in opposite pairs or whorls of 3,often over lapping and obscuring the stem; seeds in cones, some cones berry like</t>
    </r>
  </si>
  <si>
    <t xml:space="preserve">only one with scales </t>
  </si>
  <si>
    <t xml:space="preserve">bundle of 5 </t>
  </si>
  <si>
    <t xml:space="preserve">bundle of 2, long needles </t>
  </si>
  <si>
    <t xml:space="preserve">bundle of 2, short needles </t>
  </si>
  <si>
    <t>p. 74-75</t>
  </si>
  <si>
    <t>p. 108</t>
  </si>
  <si>
    <t>p. 102-103</t>
  </si>
  <si>
    <t>p. 104-105</t>
  </si>
  <si>
    <t>p. 106-107</t>
  </si>
  <si>
    <t>p. 120-121</t>
  </si>
  <si>
    <t>p. 84-85</t>
  </si>
  <si>
    <t>p. 154</t>
  </si>
  <si>
    <t>p. 134-135</t>
  </si>
  <si>
    <t>p. 140-141</t>
  </si>
  <si>
    <t>p. 142-143</t>
  </si>
  <si>
    <t>p. 144-145</t>
  </si>
  <si>
    <t>p. 146-147</t>
  </si>
  <si>
    <r>
      <rPr>
        <sz val="14"/>
        <color theme="1"/>
        <rFont val="Calibri"/>
        <family val="2"/>
        <scheme val="minor"/>
      </rPr>
      <t>Striped Maple</t>
    </r>
    <r>
      <rPr>
        <i/>
        <sz val="14"/>
        <color theme="1"/>
        <rFont val="Calibri"/>
        <family val="2"/>
        <scheme val="minor"/>
      </rPr>
      <t>, Acer pensylvanicum</t>
    </r>
  </si>
  <si>
    <t>p. 148-149</t>
  </si>
  <si>
    <t>p. 162-163</t>
  </si>
  <si>
    <t>p.164-165</t>
  </si>
  <si>
    <t>p. 216</t>
  </si>
  <si>
    <t>p. 223</t>
  </si>
  <si>
    <t>p. 198-199</t>
  </si>
  <si>
    <t>p. 226-227</t>
  </si>
  <si>
    <t>p. 248-249</t>
  </si>
  <si>
    <t>p. 258</t>
  </si>
  <si>
    <t>p. 280</t>
  </si>
  <si>
    <t>p. 312</t>
  </si>
  <si>
    <t>p. 268-269</t>
  </si>
  <si>
    <t>p. 284-385</t>
  </si>
  <si>
    <t>p. 288-289</t>
  </si>
  <si>
    <t>p. 294-295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</si>
</sst>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0" fillId="0" borderId="0" xfId="0" applyFill="1"/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2" xfId="0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5" fillId="0" borderId="1" xfId="0" applyFont="1" applyBorder="1"/>
    <xf numFmtId="0" fontId="6" fillId="0" borderId="3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Fill="1" applyBorder="1" applyAlignment="1">
      <alignment horizontal="left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/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D988-9A85-414C-AAF9-07E918A5E73B}">
  <sheetPr>
    <pageSetUpPr fitToPage="1"/>
  </sheetPr>
  <dimension ref="A1:I42"/>
  <sheetViews>
    <sheetView zoomScale="200" zoomScaleNormal="200" workbookViewId="0">
      <selection sqref="A1:G42"/>
    </sheetView>
    <sheetView tabSelected="1" topLeftCell="C7" zoomScale="110" zoomScaleNormal="110" workbookViewId="1">
      <selection activeCell="F28" sqref="F28"/>
    </sheetView>
  </sheetViews>
  <sheetFormatPr defaultColWidth="8.6640625" defaultRowHeight="14.4" x14ac:dyDescent="0.3"/>
  <cols>
    <col min="1" max="1" width="11.109375" style="14" customWidth="1"/>
    <col min="2" max="2" width="24.44140625" style="14" bestFit="1" customWidth="1"/>
    <col min="3" max="3" width="25" style="14" customWidth="1"/>
    <col min="4" max="4" width="38.5546875" style="14" hidden="1" customWidth="1"/>
    <col min="5" max="5" width="38.5546875" style="14" customWidth="1"/>
    <col min="6" max="6" width="19.6640625" style="18" bestFit="1" customWidth="1"/>
    <col min="7" max="7" width="8.6640625" style="14"/>
    <col min="8" max="8" width="10" style="14" customWidth="1"/>
    <col min="9" max="9" width="13.6640625" style="18" bestFit="1" customWidth="1"/>
    <col min="10" max="16384" width="8.6640625" style="14"/>
  </cols>
  <sheetData>
    <row r="1" spans="1:9" ht="43.2" x14ac:dyDescent="0.3">
      <c r="A1" s="12" t="s">
        <v>99</v>
      </c>
      <c r="B1" s="12" t="s">
        <v>62</v>
      </c>
      <c r="C1" s="12" t="s">
        <v>151</v>
      </c>
      <c r="D1" s="12"/>
      <c r="E1" s="12"/>
      <c r="F1" s="12" t="s">
        <v>98</v>
      </c>
      <c r="G1" s="12" t="s">
        <v>160</v>
      </c>
      <c r="H1" s="13" t="s">
        <v>163</v>
      </c>
      <c r="I1" s="12" t="s">
        <v>138</v>
      </c>
    </row>
    <row r="2" spans="1:9" x14ac:dyDescent="0.3">
      <c r="A2" s="15">
        <v>32</v>
      </c>
      <c r="B2" s="12" t="s">
        <v>15</v>
      </c>
      <c r="C2" s="20" t="s">
        <v>72</v>
      </c>
      <c r="D2" s="16" t="str">
        <f>_xlfn.TEXTJOIN(", ", TRUE, B2,C2)</f>
        <v>Norway Spruce, Picea abies</v>
      </c>
      <c r="E2" s="20" t="s">
        <v>181</v>
      </c>
      <c r="F2" s="12">
        <v>108</v>
      </c>
      <c r="G2" s="15" t="s">
        <v>161</v>
      </c>
      <c r="H2" s="15" t="s">
        <v>165</v>
      </c>
      <c r="I2" s="15" t="s">
        <v>112</v>
      </c>
    </row>
    <row r="3" spans="1:9" x14ac:dyDescent="0.3">
      <c r="A3" s="15">
        <v>3</v>
      </c>
      <c r="B3" s="12" t="s">
        <v>29</v>
      </c>
      <c r="C3" s="20" t="s">
        <v>80</v>
      </c>
      <c r="D3" s="16" t="str">
        <f t="shared" ref="D3:D42" si="0">_xlfn.TEXTJOIN(", ", TRUE, B3,C3)</f>
        <v>Norway Maple, Acer platanoides</v>
      </c>
      <c r="E3" s="20" t="s">
        <v>182</v>
      </c>
      <c r="F3" s="15">
        <v>154</v>
      </c>
      <c r="G3" s="15" t="s">
        <v>162</v>
      </c>
      <c r="H3" s="15" t="s">
        <v>165</v>
      </c>
      <c r="I3" s="15" t="s">
        <v>117</v>
      </c>
    </row>
    <row r="4" spans="1:9" x14ac:dyDescent="0.3">
      <c r="A4" s="15">
        <v>25</v>
      </c>
      <c r="B4" s="15" t="s">
        <v>157</v>
      </c>
      <c r="C4" s="16" t="s">
        <v>159</v>
      </c>
      <c r="D4" s="16" t="str">
        <f t="shared" si="0"/>
        <v>Black Locust, Robinia pseudoacacia</v>
      </c>
      <c r="E4" s="20" t="s">
        <v>183</v>
      </c>
      <c r="F4" s="15">
        <v>216</v>
      </c>
      <c r="G4" s="15" t="s">
        <v>162</v>
      </c>
      <c r="H4" s="15" t="s">
        <v>165</v>
      </c>
      <c r="I4" s="15" t="s">
        <v>158</v>
      </c>
    </row>
    <row r="5" spans="1:9" x14ac:dyDescent="0.3">
      <c r="A5" s="15">
        <v>27</v>
      </c>
      <c r="B5" s="15" t="s">
        <v>153</v>
      </c>
      <c r="C5" s="16" t="s">
        <v>83</v>
      </c>
      <c r="D5" s="16" t="str">
        <f t="shared" si="0"/>
        <v>American Mountain-Ash, Sorbus americana</v>
      </c>
      <c r="E5" s="20" t="s">
        <v>184</v>
      </c>
      <c r="F5" s="15">
        <v>223</v>
      </c>
      <c r="G5" s="15" t="s">
        <v>162</v>
      </c>
      <c r="H5" s="15" t="s">
        <v>164</v>
      </c>
      <c r="I5" s="15" t="s">
        <v>105</v>
      </c>
    </row>
    <row r="6" spans="1:9" x14ac:dyDescent="0.3">
      <c r="A6" s="15">
        <v>22</v>
      </c>
      <c r="B6" s="15" t="s">
        <v>146</v>
      </c>
      <c r="C6" s="16" t="s">
        <v>147</v>
      </c>
      <c r="D6" s="16" t="str">
        <f t="shared" si="0"/>
        <v>Bur Oak, Quercus macrocarpa</v>
      </c>
      <c r="E6" s="20" t="s">
        <v>185</v>
      </c>
      <c r="F6" s="15">
        <v>258</v>
      </c>
      <c r="G6" s="15" t="s">
        <v>162</v>
      </c>
      <c r="H6" s="15" t="s">
        <v>164</v>
      </c>
      <c r="I6" s="15" t="s">
        <v>148</v>
      </c>
    </row>
    <row r="7" spans="1:9" x14ac:dyDescent="0.3">
      <c r="A7" s="15">
        <v>28</v>
      </c>
      <c r="B7" s="15" t="s">
        <v>41</v>
      </c>
      <c r="C7" s="16" t="s">
        <v>86</v>
      </c>
      <c r="D7" s="16" t="str">
        <f t="shared" si="0"/>
        <v>Basswood, Tilia americana</v>
      </c>
      <c r="E7" s="20" t="s">
        <v>186</v>
      </c>
      <c r="F7" s="15">
        <v>280</v>
      </c>
      <c r="G7" s="15" t="s">
        <v>162</v>
      </c>
      <c r="H7" s="15" t="s">
        <v>164</v>
      </c>
      <c r="I7" s="15" t="s">
        <v>129</v>
      </c>
    </row>
    <row r="8" spans="1:9" x14ac:dyDescent="0.3">
      <c r="A8" s="15">
        <v>26</v>
      </c>
      <c r="B8" s="15" t="s">
        <v>140</v>
      </c>
      <c r="C8" s="15" t="s">
        <v>142</v>
      </c>
      <c r="D8" s="16" t="str">
        <f t="shared" si="0"/>
        <v>Willow species, Salix spp.</v>
      </c>
      <c r="E8" s="20" t="s">
        <v>187</v>
      </c>
      <c r="F8" s="15">
        <v>312</v>
      </c>
      <c r="G8" s="15" t="s">
        <v>162</v>
      </c>
      <c r="H8" s="15" t="s">
        <v>164</v>
      </c>
      <c r="I8" s="15" t="s">
        <v>141</v>
      </c>
    </row>
    <row r="9" spans="1:9" x14ac:dyDescent="0.3">
      <c r="A9" s="15">
        <v>33</v>
      </c>
      <c r="B9" s="15" t="s">
        <v>9</v>
      </c>
      <c r="C9" s="16" t="s">
        <v>70</v>
      </c>
      <c r="D9" s="16" t="str">
        <f t="shared" si="0"/>
        <v>White Spruce, Picea glauca</v>
      </c>
      <c r="E9" s="20" t="s">
        <v>188</v>
      </c>
      <c r="F9" s="15" t="s">
        <v>10</v>
      </c>
      <c r="G9" s="15" t="s">
        <v>161</v>
      </c>
      <c r="H9" s="15" t="s">
        <v>164</v>
      </c>
      <c r="I9" s="15" t="s">
        <v>109</v>
      </c>
    </row>
    <row r="10" spans="1:9" x14ac:dyDescent="0.3">
      <c r="A10" s="15">
        <v>35</v>
      </c>
      <c r="B10" s="15" t="s">
        <v>11</v>
      </c>
      <c r="C10" s="16" t="s">
        <v>71</v>
      </c>
      <c r="D10" s="16" t="str">
        <f t="shared" si="0"/>
        <v>Red Spruce, Picea rubens</v>
      </c>
      <c r="E10" s="20" t="s">
        <v>189</v>
      </c>
      <c r="F10" s="15" t="s">
        <v>12</v>
      </c>
      <c r="G10" s="15" t="s">
        <v>161</v>
      </c>
      <c r="H10" s="15" t="s">
        <v>164</v>
      </c>
      <c r="I10" s="15" t="s">
        <v>110</v>
      </c>
    </row>
    <row r="11" spans="1:9" x14ac:dyDescent="0.3">
      <c r="A11" s="15">
        <v>34</v>
      </c>
      <c r="B11" s="15" t="s">
        <v>13</v>
      </c>
      <c r="C11" s="16" t="s">
        <v>100</v>
      </c>
      <c r="D11" s="16" t="str">
        <f t="shared" si="0"/>
        <v>Black Spruce, Picea mariana</v>
      </c>
      <c r="E11" s="20" t="s">
        <v>190</v>
      </c>
      <c r="F11" s="15" t="s">
        <v>14</v>
      </c>
      <c r="G11" s="15" t="s">
        <v>161</v>
      </c>
      <c r="H11" s="15" t="s">
        <v>164</v>
      </c>
      <c r="I11" s="15" t="s">
        <v>111</v>
      </c>
    </row>
    <row r="12" spans="1:9" x14ac:dyDescent="0.3">
      <c r="A12" s="15">
        <v>40</v>
      </c>
      <c r="B12" s="15" t="s">
        <v>16</v>
      </c>
      <c r="C12" s="16" t="s">
        <v>73</v>
      </c>
      <c r="D12" s="16" t="str">
        <f t="shared" si="0"/>
        <v>Eastern Hemlock, Tsuga canadensis</v>
      </c>
      <c r="E12" s="20" t="s">
        <v>191</v>
      </c>
      <c r="F12" s="15" t="s">
        <v>17</v>
      </c>
      <c r="G12" s="15" t="s">
        <v>161</v>
      </c>
      <c r="H12" s="15" t="s">
        <v>164</v>
      </c>
      <c r="I12" s="15" t="s">
        <v>113</v>
      </c>
    </row>
    <row r="13" spans="1:9" x14ac:dyDescent="0.3">
      <c r="A13" s="15">
        <v>6</v>
      </c>
      <c r="B13" s="15" t="s">
        <v>18</v>
      </c>
      <c r="C13" s="16" t="s">
        <v>74</v>
      </c>
      <c r="D13" s="16" t="str">
        <f t="shared" si="0"/>
        <v>Sugar Maple, Acer saccharum</v>
      </c>
      <c r="E13" s="20" t="s">
        <v>192</v>
      </c>
      <c r="F13" s="15" t="s">
        <v>149</v>
      </c>
      <c r="G13" s="15" t="s">
        <v>162</v>
      </c>
      <c r="H13" s="15" t="s">
        <v>164</v>
      </c>
      <c r="I13" s="15" t="s">
        <v>114</v>
      </c>
    </row>
    <row r="14" spans="1:9" x14ac:dyDescent="0.3">
      <c r="A14" s="15">
        <v>4</v>
      </c>
      <c r="B14" s="15" t="s">
        <v>19</v>
      </c>
      <c r="C14" s="16" t="s">
        <v>75</v>
      </c>
      <c r="D14" s="16" t="str">
        <f t="shared" si="0"/>
        <v>Red Maple, Acer rubrum</v>
      </c>
      <c r="E14" s="20" t="s">
        <v>193</v>
      </c>
      <c r="F14" s="15" t="s">
        <v>20</v>
      </c>
      <c r="G14" s="15" t="s">
        <v>162</v>
      </c>
      <c r="H14" s="15" t="s">
        <v>164</v>
      </c>
      <c r="I14" s="15" t="s">
        <v>115</v>
      </c>
    </row>
    <row r="15" spans="1:9" x14ac:dyDescent="0.3">
      <c r="A15" s="15">
        <v>5</v>
      </c>
      <c r="B15" s="15" t="s">
        <v>21</v>
      </c>
      <c r="C15" s="16" t="s">
        <v>76</v>
      </c>
      <c r="D15" s="16" t="str">
        <f t="shared" si="0"/>
        <v>Silver Maple, Acer saccharinum</v>
      </c>
      <c r="E15" s="20" t="s">
        <v>194</v>
      </c>
      <c r="F15" s="15" t="s">
        <v>22</v>
      </c>
      <c r="G15" s="15" t="s">
        <v>162</v>
      </c>
      <c r="H15" s="15" t="s">
        <v>164</v>
      </c>
      <c r="I15" s="15" t="s">
        <v>126</v>
      </c>
    </row>
    <row r="16" spans="1:9" x14ac:dyDescent="0.3">
      <c r="A16" s="15">
        <v>1</v>
      </c>
      <c r="B16" s="15" t="s">
        <v>23</v>
      </c>
      <c r="C16" s="16" t="s">
        <v>77</v>
      </c>
      <c r="D16" s="16" t="str">
        <f t="shared" si="0"/>
        <v>Manitoba Maple, Acer negundo</v>
      </c>
      <c r="E16" s="20" t="s">
        <v>195</v>
      </c>
      <c r="F16" s="15" t="s">
        <v>24</v>
      </c>
      <c r="G16" s="15" t="s">
        <v>162</v>
      </c>
      <c r="H16" s="15" t="s">
        <v>164</v>
      </c>
      <c r="I16" s="15" t="s">
        <v>137</v>
      </c>
    </row>
    <row r="17" spans="1:9" x14ac:dyDescent="0.3">
      <c r="A17" s="15">
        <v>7</v>
      </c>
      <c r="B17" s="15" t="s">
        <v>25</v>
      </c>
      <c r="C17" s="16" t="s">
        <v>78</v>
      </c>
      <c r="D17" s="16" t="str">
        <f t="shared" si="0"/>
        <v>Mountain Maple, Acer spicatum</v>
      </c>
      <c r="E17" s="20" t="s">
        <v>196</v>
      </c>
      <c r="F17" s="15" t="s">
        <v>26</v>
      </c>
      <c r="G17" s="15" t="s">
        <v>162</v>
      </c>
      <c r="H17" s="15" t="s">
        <v>164</v>
      </c>
      <c r="I17" s="15" t="s">
        <v>116</v>
      </c>
    </row>
    <row r="18" spans="1:9" x14ac:dyDescent="0.3">
      <c r="A18" s="15">
        <v>2</v>
      </c>
      <c r="B18" s="15" t="s">
        <v>27</v>
      </c>
      <c r="C18" s="16" t="s">
        <v>79</v>
      </c>
      <c r="D18" s="16" t="str">
        <f t="shared" si="0"/>
        <v>Striped Maple, Acer pensylvanicum</v>
      </c>
      <c r="E18" s="20" t="s">
        <v>197</v>
      </c>
      <c r="F18" s="15" t="s">
        <v>28</v>
      </c>
      <c r="G18" s="15" t="s">
        <v>162</v>
      </c>
      <c r="H18" s="15" t="s">
        <v>164</v>
      </c>
      <c r="I18" s="15" t="s">
        <v>127</v>
      </c>
    </row>
    <row r="19" spans="1:9" x14ac:dyDescent="0.3">
      <c r="A19" s="15">
        <v>13</v>
      </c>
      <c r="B19" s="15" t="s">
        <v>30</v>
      </c>
      <c r="C19" s="16" t="s">
        <v>81</v>
      </c>
      <c r="D19" s="16" t="str">
        <f t="shared" si="0"/>
        <v>White Ash, Fraxinus americana</v>
      </c>
      <c r="E19" s="20" t="s">
        <v>198</v>
      </c>
      <c r="F19" s="15" t="s">
        <v>31</v>
      </c>
      <c r="G19" s="15" t="s">
        <v>162</v>
      </c>
      <c r="H19" s="15" t="s">
        <v>164</v>
      </c>
      <c r="I19" s="15" t="s">
        <v>118</v>
      </c>
    </row>
    <row r="20" spans="1:9" x14ac:dyDescent="0.3">
      <c r="A20" s="15">
        <v>14</v>
      </c>
      <c r="B20" s="15" t="s">
        <v>143</v>
      </c>
      <c r="C20" s="16" t="s">
        <v>101</v>
      </c>
      <c r="D20" s="16" t="str">
        <f t="shared" si="0"/>
        <v>Green Ash, Fraxinus pennsylvanica</v>
      </c>
      <c r="E20" s="20" t="s">
        <v>199</v>
      </c>
      <c r="F20" s="15" t="s">
        <v>32</v>
      </c>
      <c r="G20" s="15" t="s">
        <v>162</v>
      </c>
      <c r="H20" s="15" t="s">
        <v>164</v>
      </c>
      <c r="I20" s="15" t="s">
        <v>152</v>
      </c>
    </row>
    <row r="21" spans="1:9" x14ac:dyDescent="0.3">
      <c r="A21" s="15">
        <v>15</v>
      </c>
      <c r="B21" s="15" t="s">
        <v>33</v>
      </c>
      <c r="C21" s="16" t="s">
        <v>82</v>
      </c>
      <c r="D21" s="16" t="str">
        <f t="shared" si="0"/>
        <v>Butternut, Juglans cinerea</v>
      </c>
      <c r="E21" s="20" t="s">
        <v>200</v>
      </c>
      <c r="F21" s="15" t="s">
        <v>34</v>
      </c>
      <c r="G21" s="15" t="s">
        <v>162</v>
      </c>
      <c r="H21" s="15" t="s">
        <v>164</v>
      </c>
      <c r="I21" s="15" t="s">
        <v>128</v>
      </c>
    </row>
    <row r="22" spans="1:9" x14ac:dyDescent="0.3">
      <c r="A22" s="15">
        <v>24</v>
      </c>
      <c r="B22" s="15" t="s">
        <v>35</v>
      </c>
      <c r="C22" s="16" t="s">
        <v>84</v>
      </c>
      <c r="D22" s="16" t="str">
        <f t="shared" si="0"/>
        <v>Staghorn Sumac, Rhus typhina</v>
      </c>
      <c r="E22" s="20" t="s">
        <v>201</v>
      </c>
      <c r="F22" s="15" t="s">
        <v>36</v>
      </c>
      <c r="G22" s="15" t="s">
        <v>162</v>
      </c>
      <c r="H22" s="15" t="s">
        <v>164</v>
      </c>
      <c r="I22" s="15" t="s">
        <v>136</v>
      </c>
    </row>
    <row r="23" spans="1:9" x14ac:dyDescent="0.3">
      <c r="A23" s="15">
        <v>23</v>
      </c>
      <c r="B23" s="15" t="s">
        <v>37</v>
      </c>
      <c r="C23" s="16" t="s">
        <v>85</v>
      </c>
      <c r="D23" s="16" t="str">
        <f t="shared" si="0"/>
        <v>Red Oak, Quercus rubra</v>
      </c>
      <c r="E23" s="20" t="s">
        <v>202</v>
      </c>
      <c r="F23" s="15" t="s">
        <v>38</v>
      </c>
      <c r="G23" s="15" t="s">
        <v>162</v>
      </c>
      <c r="H23" s="15" t="s">
        <v>164</v>
      </c>
      <c r="I23" s="15" t="s">
        <v>119</v>
      </c>
    </row>
    <row r="24" spans="1:9" x14ac:dyDescent="0.3">
      <c r="A24" s="15">
        <v>39</v>
      </c>
      <c r="B24" s="15" t="s">
        <v>154</v>
      </c>
      <c r="C24" s="16" t="s">
        <v>64</v>
      </c>
      <c r="D24" s="16" t="str">
        <f t="shared" si="0"/>
        <v>Eastern White-Cedar, Thuja occidentalis</v>
      </c>
      <c r="E24" s="20" t="s">
        <v>203</v>
      </c>
      <c r="F24" s="15" t="s">
        <v>0</v>
      </c>
      <c r="G24" s="15" t="s">
        <v>161</v>
      </c>
      <c r="H24" s="15" t="s">
        <v>164</v>
      </c>
      <c r="I24" s="15" t="s">
        <v>103</v>
      </c>
    </row>
    <row r="25" spans="1:9" x14ac:dyDescent="0.3">
      <c r="A25" s="15">
        <v>12</v>
      </c>
      <c r="B25" s="15" t="s">
        <v>39</v>
      </c>
      <c r="C25" s="16" t="s">
        <v>87</v>
      </c>
      <c r="D25" s="16" t="str">
        <f t="shared" si="0"/>
        <v>American Beech, Fagus grandifolia</v>
      </c>
      <c r="E25" s="20" t="s">
        <v>204</v>
      </c>
      <c r="F25" s="15" t="s">
        <v>40</v>
      </c>
      <c r="G25" s="15" t="s">
        <v>162</v>
      </c>
      <c r="H25" s="15" t="s">
        <v>164</v>
      </c>
      <c r="I25" s="15" t="s">
        <v>120</v>
      </c>
    </row>
    <row r="26" spans="1:9" x14ac:dyDescent="0.3">
      <c r="A26" s="15">
        <v>10</v>
      </c>
      <c r="B26" s="15" t="s">
        <v>42</v>
      </c>
      <c r="C26" s="16" t="s">
        <v>88</v>
      </c>
      <c r="D26" s="16" t="str">
        <f t="shared" si="0"/>
        <v>White Birch, Betula papyrifera</v>
      </c>
      <c r="E26" s="20" t="s">
        <v>205</v>
      </c>
      <c r="F26" s="15" t="s">
        <v>156</v>
      </c>
      <c r="G26" s="15" t="s">
        <v>162</v>
      </c>
      <c r="H26" s="15" t="s">
        <v>164</v>
      </c>
      <c r="I26" s="15" t="s">
        <v>121</v>
      </c>
    </row>
    <row r="27" spans="1:9" x14ac:dyDescent="0.3">
      <c r="A27" s="15">
        <v>11</v>
      </c>
      <c r="B27" s="15" t="s">
        <v>43</v>
      </c>
      <c r="C27" s="16" t="s">
        <v>89</v>
      </c>
      <c r="D27" s="16" t="str">
        <f t="shared" si="0"/>
        <v>Gray Birch, Betula populifolia</v>
      </c>
      <c r="E27" s="20" t="s">
        <v>206</v>
      </c>
      <c r="F27" s="15" t="s">
        <v>44</v>
      </c>
      <c r="G27" s="15" t="s">
        <v>162</v>
      </c>
      <c r="H27" s="15" t="s">
        <v>164</v>
      </c>
      <c r="I27" s="15" t="s">
        <v>122</v>
      </c>
    </row>
    <row r="28" spans="1:9" x14ac:dyDescent="0.3">
      <c r="A28" s="15">
        <v>9</v>
      </c>
      <c r="B28" s="15" t="s">
        <v>45</v>
      </c>
      <c r="C28" s="16" t="s">
        <v>139</v>
      </c>
      <c r="D28" s="16" t="str">
        <f t="shared" si="0"/>
        <v>Yellow Birch, Betula alleghaniensis</v>
      </c>
      <c r="E28" s="20" t="s">
        <v>207</v>
      </c>
      <c r="F28" s="15" t="s">
        <v>155</v>
      </c>
      <c r="G28" s="15" t="s">
        <v>162</v>
      </c>
      <c r="H28" s="15" t="s">
        <v>164</v>
      </c>
      <c r="I28" s="15" t="s">
        <v>123</v>
      </c>
    </row>
    <row r="29" spans="1:9" x14ac:dyDescent="0.3">
      <c r="A29" s="15">
        <v>8</v>
      </c>
      <c r="B29" s="15" t="s">
        <v>46</v>
      </c>
      <c r="C29" s="16" t="s">
        <v>90</v>
      </c>
      <c r="D29" s="16" t="str">
        <f t="shared" si="0"/>
        <v>Speckled Alder, Alnus incana</v>
      </c>
      <c r="E29" s="20" t="s">
        <v>208</v>
      </c>
      <c r="F29" s="15" t="s">
        <v>47</v>
      </c>
      <c r="G29" s="15" t="s">
        <v>162</v>
      </c>
      <c r="H29" s="15" t="s">
        <v>164</v>
      </c>
      <c r="I29" s="15" t="s">
        <v>130</v>
      </c>
    </row>
    <row r="30" spans="1:9" x14ac:dyDescent="0.3">
      <c r="A30" s="15">
        <v>16</v>
      </c>
      <c r="B30" s="15" t="s">
        <v>48</v>
      </c>
      <c r="C30" s="16" t="s">
        <v>91</v>
      </c>
      <c r="D30" s="16" t="str">
        <f t="shared" si="0"/>
        <v>Ironwood, Ostrya virginiana</v>
      </c>
      <c r="E30" s="20" t="s">
        <v>209</v>
      </c>
      <c r="F30" s="15" t="s">
        <v>49</v>
      </c>
      <c r="G30" s="15" t="s">
        <v>162</v>
      </c>
      <c r="H30" s="15" t="s">
        <v>164</v>
      </c>
      <c r="I30" s="15" t="s">
        <v>102</v>
      </c>
    </row>
    <row r="31" spans="1:9" x14ac:dyDescent="0.3">
      <c r="A31" s="15">
        <v>17</v>
      </c>
      <c r="B31" s="15" t="s">
        <v>50</v>
      </c>
      <c r="C31" s="16" t="s">
        <v>92</v>
      </c>
      <c r="D31" s="16" t="str">
        <f t="shared" si="0"/>
        <v>Balsam Poplar, Populus balsamifera</v>
      </c>
      <c r="E31" s="20" t="s">
        <v>210</v>
      </c>
      <c r="F31" s="15" t="s">
        <v>51</v>
      </c>
      <c r="G31" s="15" t="s">
        <v>162</v>
      </c>
      <c r="H31" s="15" t="s">
        <v>164</v>
      </c>
      <c r="I31" s="15" t="s">
        <v>124</v>
      </c>
    </row>
    <row r="32" spans="1:9" x14ac:dyDescent="0.3">
      <c r="A32" s="15">
        <v>19</v>
      </c>
      <c r="B32" s="15" t="s">
        <v>52</v>
      </c>
      <c r="C32" s="16" t="s">
        <v>93</v>
      </c>
      <c r="D32" s="16" t="str">
        <f t="shared" si="0"/>
        <v>Trembling Aspen, Populus tremuloides</v>
      </c>
      <c r="E32" s="20" t="s">
        <v>211</v>
      </c>
      <c r="F32" s="15" t="s">
        <v>53</v>
      </c>
      <c r="G32" s="15" t="s">
        <v>162</v>
      </c>
      <c r="H32" s="15" t="s">
        <v>164</v>
      </c>
      <c r="I32" s="15" t="s">
        <v>131</v>
      </c>
    </row>
    <row r="33" spans="1:9" x14ac:dyDescent="0.3">
      <c r="A33" s="15">
        <v>18</v>
      </c>
      <c r="B33" s="15" t="s">
        <v>54</v>
      </c>
      <c r="C33" s="16" t="s">
        <v>94</v>
      </c>
      <c r="D33" s="16" t="str">
        <f t="shared" si="0"/>
        <v>Largetooth Aspen, Populus grandidentata</v>
      </c>
      <c r="E33" s="20" t="s">
        <v>212</v>
      </c>
      <c r="F33" s="15" t="s">
        <v>55</v>
      </c>
      <c r="G33" s="15" t="s">
        <v>162</v>
      </c>
      <c r="H33" s="15" t="s">
        <v>164</v>
      </c>
      <c r="I33" s="15" t="s">
        <v>132</v>
      </c>
    </row>
    <row r="34" spans="1:9" x14ac:dyDescent="0.3">
      <c r="A34" s="15">
        <v>29</v>
      </c>
      <c r="B34" s="15" t="s">
        <v>56</v>
      </c>
      <c r="C34" s="16" t="s">
        <v>95</v>
      </c>
      <c r="D34" s="16" t="str">
        <f t="shared" si="0"/>
        <v>White Elm, Ulmus americana</v>
      </c>
      <c r="E34" s="20" t="s">
        <v>213</v>
      </c>
      <c r="F34" s="15" t="s">
        <v>57</v>
      </c>
      <c r="G34" s="15" t="s">
        <v>162</v>
      </c>
      <c r="H34" s="15" t="s">
        <v>164</v>
      </c>
      <c r="I34" s="15" t="s">
        <v>133</v>
      </c>
    </row>
    <row r="35" spans="1:9" x14ac:dyDescent="0.3">
      <c r="A35" s="15">
        <v>20</v>
      </c>
      <c r="B35" s="15" t="s">
        <v>58</v>
      </c>
      <c r="C35" s="16" t="s">
        <v>96</v>
      </c>
      <c r="D35" s="16" t="str">
        <f t="shared" si="0"/>
        <v>Pin Cherry, Prunus pensylvanica</v>
      </c>
      <c r="E35" s="20" t="s">
        <v>214</v>
      </c>
      <c r="F35" s="15" t="s">
        <v>59</v>
      </c>
      <c r="G35" s="15" t="s">
        <v>162</v>
      </c>
      <c r="H35" s="15" t="s">
        <v>164</v>
      </c>
      <c r="I35" s="15" t="s">
        <v>135</v>
      </c>
    </row>
    <row r="36" spans="1:9" x14ac:dyDescent="0.3">
      <c r="A36" s="15">
        <v>21</v>
      </c>
      <c r="B36" s="15" t="s">
        <v>60</v>
      </c>
      <c r="C36" s="16" t="s">
        <v>97</v>
      </c>
      <c r="D36" s="16" t="str">
        <f t="shared" si="0"/>
        <v>Choke Cherry, Prunus virginiana</v>
      </c>
      <c r="E36" s="16" t="s">
        <v>215</v>
      </c>
      <c r="F36" s="15" t="s">
        <v>61</v>
      </c>
      <c r="G36" s="15" t="s">
        <v>162</v>
      </c>
      <c r="H36" s="15" t="s">
        <v>164</v>
      </c>
      <c r="I36" s="15" t="s">
        <v>134</v>
      </c>
    </row>
    <row r="37" spans="1:9" x14ac:dyDescent="0.3">
      <c r="A37" s="15">
        <v>38</v>
      </c>
      <c r="B37" s="15" t="s">
        <v>63</v>
      </c>
      <c r="C37" s="16" t="s">
        <v>65</v>
      </c>
      <c r="D37" s="16" t="str">
        <f t="shared" si="0"/>
        <v>Eastern White Pine, Pinus strobus</v>
      </c>
      <c r="E37" s="20" t="s">
        <v>216</v>
      </c>
      <c r="F37" s="15" t="s">
        <v>1</v>
      </c>
      <c r="G37" s="15" t="s">
        <v>161</v>
      </c>
      <c r="H37" s="15" t="s">
        <v>164</v>
      </c>
      <c r="I37" s="15" t="s">
        <v>104</v>
      </c>
    </row>
    <row r="38" spans="1:9" x14ac:dyDescent="0.3">
      <c r="A38" s="15">
        <v>37</v>
      </c>
      <c r="B38" s="15" t="s">
        <v>3</v>
      </c>
      <c r="C38" s="16" t="s">
        <v>66</v>
      </c>
      <c r="D38" s="16" t="str">
        <f t="shared" si="0"/>
        <v>Red Pine, Pinus resinosa</v>
      </c>
      <c r="E38" s="20" t="s">
        <v>217</v>
      </c>
      <c r="F38" s="15" t="s">
        <v>2</v>
      </c>
      <c r="G38" s="15" t="s">
        <v>161</v>
      </c>
      <c r="H38" s="15" t="s">
        <v>164</v>
      </c>
      <c r="I38" s="15" t="s">
        <v>106</v>
      </c>
    </row>
    <row r="39" spans="1:9" x14ac:dyDescent="0.3">
      <c r="A39" s="15">
        <v>36</v>
      </c>
      <c r="B39" s="15" t="s">
        <v>5</v>
      </c>
      <c r="C39" s="16" t="s">
        <v>67</v>
      </c>
      <c r="D39" s="16" t="str">
        <f t="shared" si="0"/>
        <v>Jack Pine, Pinus banksiana</v>
      </c>
      <c r="E39" s="20" t="s">
        <v>218</v>
      </c>
      <c r="F39" s="15" t="s">
        <v>4</v>
      </c>
      <c r="G39" s="15" t="s">
        <v>161</v>
      </c>
      <c r="H39" s="15" t="s">
        <v>164</v>
      </c>
      <c r="I39" s="15" t="s">
        <v>107</v>
      </c>
    </row>
    <row r="40" spans="1:9" x14ac:dyDescent="0.3">
      <c r="A40" s="15">
        <v>31</v>
      </c>
      <c r="B40" s="15" t="s">
        <v>150</v>
      </c>
      <c r="C40" s="16" t="s">
        <v>68</v>
      </c>
      <c r="D40" s="16" t="str">
        <f t="shared" si="0"/>
        <v>Tamarack, Larix laricina</v>
      </c>
      <c r="E40" s="20" t="s">
        <v>219</v>
      </c>
      <c r="F40" s="15" t="s">
        <v>6</v>
      </c>
      <c r="G40" s="15" t="s">
        <v>161</v>
      </c>
      <c r="H40" s="15" t="s">
        <v>164</v>
      </c>
      <c r="I40" s="15" t="s">
        <v>125</v>
      </c>
    </row>
    <row r="41" spans="1:9" x14ac:dyDescent="0.3">
      <c r="A41" s="15">
        <v>30</v>
      </c>
      <c r="B41" s="15" t="s">
        <v>8</v>
      </c>
      <c r="C41" s="16" t="s">
        <v>69</v>
      </c>
      <c r="D41" s="16" t="str">
        <f t="shared" si="0"/>
        <v>Balsam Fir, Abies balsamea</v>
      </c>
      <c r="E41" s="20" t="s">
        <v>220</v>
      </c>
      <c r="F41" s="15" t="s">
        <v>7</v>
      </c>
      <c r="G41" s="15" t="s">
        <v>161</v>
      </c>
      <c r="H41" s="15" t="s">
        <v>164</v>
      </c>
      <c r="I41" s="15" t="s">
        <v>108</v>
      </c>
    </row>
    <row r="42" spans="1:9" hidden="1" x14ac:dyDescent="0.3">
      <c r="B42" s="17" t="s">
        <v>145</v>
      </c>
      <c r="D42" s="16" t="str">
        <f t="shared" si="0"/>
        <v>Standing Dead Tree</v>
      </c>
      <c r="E42" s="21" t="s">
        <v>145</v>
      </c>
      <c r="H42" s="19" t="s">
        <v>164</v>
      </c>
      <c r="I42" s="17" t="s">
        <v>144</v>
      </c>
    </row>
  </sheetData>
  <sortState xmlns:xlrd2="http://schemas.microsoft.com/office/spreadsheetml/2017/richdata2" ref="A2:I41">
    <sortCondition ref="F2:F42"/>
  </sortState>
  <pageMargins left="0.25" right="0.25" top="0.75" bottom="0.75" header="0.3" footer="0.3"/>
  <pageSetup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E83A-8468-479F-9B13-23F0BDF9D7A9}">
  <sheetPr>
    <pageSetUpPr fitToPage="1"/>
  </sheetPr>
  <dimension ref="A2:N72"/>
  <sheetViews>
    <sheetView tabSelected="1" topLeftCell="A53" zoomScale="70" zoomScaleNormal="70" workbookViewId="0">
      <selection activeCell="A65" sqref="A65"/>
    </sheetView>
    <sheetView workbookViewId="1"/>
  </sheetViews>
  <sheetFormatPr defaultRowHeight="18" x14ac:dyDescent="0.35"/>
  <cols>
    <col min="1" max="1" width="10.44140625" bestFit="1" customWidth="1"/>
    <col min="2" max="2" width="61.6640625" customWidth="1"/>
    <col min="3" max="3" width="76.6640625" style="28" customWidth="1"/>
    <col min="4" max="4" width="38.5546875" bestFit="1" customWidth="1"/>
    <col min="5" max="5" width="27.88671875" bestFit="1" customWidth="1"/>
    <col min="6" max="6" width="41" bestFit="1" customWidth="1"/>
    <col min="7" max="7" width="40.77734375" customWidth="1"/>
    <col min="8" max="8" width="50.109375" bestFit="1" customWidth="1"/>
    <col min="9" max="9" width="35.44140625" bestFit="1" customWidth="1"/>
    <col min="10" max="10" width="48" bestFit="1" customWidth="1"/>
  </cols>
  <sheetData>
    <row r="2" spans="1:9" x14ac:dyDescent="0.35">
      <c r="B2" s="38" t="s">
        <v>166</v>
      </c>
      <c r="C2" s="39"/>
    </row>
    <row r="3" spans="1:9" x14ac:dyDescent="0.35">
      <c r="B3" s="41"/>
      <c r="C3" s="42"/>
    </row>
    <row r="4" spans="1:9" ht="42" customHeight="1" x14ac:dyDescent="0.3">
      <c r="B4" s="34" t="s">
        <v>264</v>
      </c>
      <c r="C4" s="35"/>
    </row>
    <row r="5" spans="1:9" x14ac:dyDescent="0.35">
      <c r="A5" t="s">
        <v>260</v>
      </c>
      <c r="B5" s="23" t="s">
        <v>221</v>
      </c>
      <c r="C5" s="27" t="s">
        <v>265</v>
      </c>
    </row>
    <row r="6" spans="1:9" x14ac:dyDescent="0.35">
      <c r="B6" s="31"/>
      <c r="C6" s="29"/>
      <c r="E6" s="31"/>
    </row>
    <row r="7" spans="1:9" x14ac:dyDescent="0.35">
      <c r="B7" s="24"/>
      <c r="C7" s="29"/>
      <c r="E7" s="24"/>
    </row>
    <row r="8" spans="1:9" x14ac:dyDescent="0.35">
      <c r="B8" s="38" t="s">
        <v>167</v>
      </c>
      <c r="C8" s="39"/>
      <c r="E8" s="24"/>
      <c r="I8" s="24"/>
    </row>
    <row r="9" spans="1:9" ht="19.8" customHeight="1" x14ac:dyDescent="0.35">
      <c r="B9" s="34" t="s">
        <v>174</v>
      </c>
      <c r="C9" s="35"/>
      <c r="D9" s="24"/>
      <c r="E9" s="24"/>
      <c r="I9" s="24"/>
    </row>
    <row r="10" spans="1:9" x14ac:dyDescent="0.35">
      <c r="A10" s="30" t="s">
        <v>261</v>
      </c>
      <c r="B10" s="25" t="s">
        <v>222</v>
      </c>
      <c r="C10" s="27" t="s">
        <v>266</v>
      </c>
      <c r="D10" s="24"/>
      <c r="E10" s="24"/>
      <c r="H10" s="24"/>
      <c r="I10" s="24"/>
    </row>
    <row r="11" spans="1:9" x14ac:dyDescent="0.35">
      <c r="A11" t="s">
        <v>262</v>
      </c>
      <c r="B11" s="25" t="s">
        <v>229</v>
      </c>
      <c r="C11" s="27" t="s">
        <v>267</v>
      </c>
      <c r="D11" s="24"/>
      <c r="E11" s="24"/>
      <c r="H11" s="24"/>
      <c r="I11" s="24"/>
    </row>
    <row r="12" spans="1:9" x14ac:dyDescent="0.35">
      <c r="A12" t="s">
        <v>263</v>
      </c>
      <c r="B12" s="25" t="s">
        <v>235</v>
      </c>
      <c r="C12" s="27" t="s">
        <v>268</v>
      </c>
      <c r="D12" s="24"/>
      <c r="E12" s="24"/>
      <c r="F12" s="24"/>
      <c r="H12" s="24"/>
      <c r="I12" s="24"/>
    </row>
    <row r="13" spans="1:9" x14ac:dyDescent="0.35">
      <c r="B13" s="24"/>
      <c r="C13" s="29"/>
      <c r="D13" s="24"/>
      <c r="E13" s="24"/>
      <c r="F13" s="24"/>
      <c r="H13" s="24"/>
      <c r="I13" s="24"/>
    </row>
    <row r="14" spans="1:9" x14ac:dyDescent="0.35">
      <c r="B14" s="24"/>
      <c r="C14" s="29"/>
      <c r="D14" s="24"/>
      <c r="E14" s="24"/>
      <c r="F14" s="24"/>
      <c r="H14" s="24"/>
      <c r="I14" s="24"/>
    </row>
    <row r="15" spans="1:9" x14ac:dyDescent="0.35">
      <c r="B15" s="38" t="s">
        <v>168</v>
      </c>
      <c r="C15" s="39"/>
      <c r="D15" s="24"/>
      <c r="E15" s="24"/>
      <c r="F15" s="24"/>
      <c r="G15" s="24"/>
      <c r="H15" s="24"/>
      <c r="I15" s="24"/>
    </row>
    <row r="16" spans="1:9" ht="35.4" customHeight="1" x14ac:dyDescent="0.35">
      <c r="B16" s="34" t="s">
        <v>175</v>
      </c>
      <c r="C16" s="35"/>
      <c r="D16" s="24"/>
      <c r="E16" s="24"/>
      <c r="F16" s="24"/>
      <c r="G16" s="24"/>
      <c r="H16" s="24"/>
      <c r="I16" s="24"/>
    </row>
    <row r="17" spans="1:10" x14ac:dyDescent="0.35">
      <c r="A17" t="s">
        <v>269</v>
      </c>
      <c r="B17" s="23" t="s">
        <v>223</v>
      </c>
      <c r="C17" s="27"/>
      <c r="D17" s="24"/>
      <c r="E17" s="24"/>
      <c r="F17" s="24"/>
      <c r="G17" s="24"/>
      <c r="H17" s="24"/>
      <c r="I17" s="24"/>
    </row>
    <row r="18" spans="1:10" x14ac:dyDescent="0.35">
      <c r="B18" s="24"/>
      <c r="C18" s="29"/>
      <c r="D18" s="24"/>
      <c r="E18" s="24"/>
      <c r="F18" s="24"/>
      <c r="G18" s="24"/>
      <c r="H18" s="24"/>
      <c r="I18" s="24"/>
    </row>
    <row r="19" spans="1:10" x14ac:dyDescent="0.35">
      <c r="B19" s="24"/>
      <c r="C19" s="29"/>
      <c r="D19" s="24"/>
      <c r="E19" s="24"/>
      <c r="F19" s="24"/>
      <c r="G19" s="24"/>
      <c r="H19" s="24"/>
      <c r="I19" s="24"/>
    </row>
    <row r="20" spans="1:10" x14ac:dyDescent="0.35">
      <c r="B20" s="38" t="s">
        <v>169</v>
      </c>
      <c r="C20" s="39"/>
      <c r="D20" s="26"/>
      <c r="E20" s="26"/>
      <c r="F20" s="26"/>
      <c r="G20" s="26"/>
      <c r="H20" s="26"/>
      <c r="I20" s="26"/>
      <c r="J20" s="26"/>
    </row>
    <row r="21" spans="1:10" x14ac:dyDescent="0.3">
      <c r="B21" s="34" t="s">
        <v>176</v>
      </c>
      <c r="C21" s="35"/>
    </row>
    <row r="22" spans="1:10" x14ac:dyDescent="0.35">
      <c r="A22" t="s">
        <v>270</v>
      </c>
      <c r="B22" s="23" t="s">
        <v>224</v>
      </c>
      <c r="C22" s="22"/>
    </row>
    <row r="23" spans="1:10" x14ac:dyDescent="0.35">
      <c r="A23" t="s">
        <v>271</v>
      </c>
      <c r="B23" s="32" t="s">
        <v>230</v>
      </c>
      <c r="C23" s="22"/>
    </row>
    <row r="24" spans="1:10" x14ac:dyDescent="0.35">
      <c r="A24" t="s">
        <v>272</v>
      </c>
      <c r="B24" s="25" t="s">
        <v>236</v>
      </c>
      <c r="C24" s="22"/>
    </row>
    <row r="25" spans="1:10" x14ac:dyDescent="0.35">
      <c r="A25" t="s">
        <v>273</v>
      </c>
      <c r="B25" s="25" t="s">
        <v>240</v>
      </c>
      <c r="C25" s="22"/>
    </row>
    <row r="26" spans="1:10" x14ac:dyDescent="0.35">
      <c r="A26" t="s">
        <v>274</v>
      </c>
      <c r="B26" s="25" t="s">
        <v>244</v>
      </c>
      <c r="C26" s="22"/>
    </row>
    <row r="27" spans="1:10" x14ac:dyDescent="0.35">
      <c r="A27" t="s">
        <v>275</v>
      </c>
      <c r="B27" s="25" t="s">
        <v>247</v>
      </c>
      <c r="C27" s="22"/>
    </row>
    <row r="30" spans="1:10" x14ac:dyDescent="0.35">
      <c r="B30" s="38" t="s">
        <v>170</v>
      </c>
      <c r="C30" s="39"/>
    </row>
    <row r="31" spans="1:10" ht="40.200000000000003" customHeight="1" x14ac:dyDescent="0.3">
      <c r="B31" s="34" t="s">
        <v>177</v>
      </c>
      <c r="C31" s="35"/>
    </row>
    <row r="32" spans="1:10" x14ac:dyDescent="0.35">
      <c r="A32" t="s">
        <v>276</v>
      </c>
      <c r="B32" s="23" t="s">
        <v>225</v>
      </c>
      <c r="C32" s="22"/>
    </row>
    <row r="33" spans="1:3" x14ac:dyDescent="0.35">
      <c r="A33" t="s">
        <v>277</v>
      </c>
      <c r="B33" s="25" t="s">
        <v>231</v>
      </c>
      <c r="C33" s="22"/>
    </row>
    <row r="34" spans="1:3" x14ac:dyDescent="0.35">
      <c r="A34" t="s">
        <v>278</v>
      </c>
      <c r="B34" s="25" t="s">
        <v>237</v>
      </c>
      <c r="C34" s="22"/>
    </row>
    <row r="35" spans="1:3" x14ac:dyDescent="0.35">
      <c r="A35" t="s">
        <v>279</v>
      </c>
      <c r="B35" s="25" t="s">
        <v>241</v>
      </c>
      <c r="C35" s="22"/>
    </row>
    <row r="36" spans="1:3" x14ac:dyDescent="0.35">
      <c r="A36" t="s">
        <v>280</v>
      </c>
      <c r="B36" s="25" t="s">
        <v>245</v>
      </c>
      <c r="C36" s="22"/>
    </row>
    <row r="37" spans="1:3" x14ac:dyDescent="0.35">
      <c r="A37" t="s">
        <v>281</v>
      </c>
      <c r="B37" s="25" t="s">
        <v>248</v>
      </c>
      <c r="C37" s="22"/>
    </row>
    <row r="38" spans="1:3" x14ac:dyDescent="0.35">
      <c r="A38" t="s">
        <v>283</v>
      </c>
      <c r="B38" s="25" t="s">
        <v>282</v>
      </c>
      <c r="C38" s="22"/>
    </row>
    <row r="39" spans="1:3" x14ac:dyDescent="0.35">
      <c r="A39" t="s">
        <v>284</v>
      </c>
      <c r="B39" s="25" t="s">
        <v>251</v>
      </c>
      <c r="C39" s="22"/>
    </row>
    <row r="40" spans="1:3" x14ac:dyDescent="0.35">
      <c r="A40" t="s">
        <v>285</v>
      </c>
      <c r="B40" s="25" t="s">
        <v>253</v>
      </c>
      <c r="C40" s="22"/>
    </row>
    <row r="43" spans="1:3" x14ac:dyDescent="0.35">
      <c r="B43" s="38" t="s">
        <v>171</v>
      </c>
      <c r="C43" s="39"/>
    </row>
    <row r="44" spans="1:3" ht="36" customHeight="1" x14ac:dyDescent="0.3">
      <c r="B44" s="34" t="s">
        <v>178</v>
      </c>
      <c r="C44" s="35"/>
    </row>
    <row r="45" spans="1:3" x14ac:dyDescent="0.35">
      <c r="A45" t="s">
        <v>286</v>
      </c>
      <c r="B45" s="40" t="s">
        <v>226</v>
      </c>
      <c r="C45" s="22"/>
    </row>
    <row r="46" spans="1:3" x14ac:dyDescent="0.35">
      <c r="A46" t="s">
        <v>287</v>
      </c>
      <c r="B46" s="25" t="s">
        <v>232</v>
      </c>
      <c r="C46" s="22"/>
    </row>
    <row r="47" spans="1:3" x14ac:dyDescent="0.35">
      <c r="A47" t="s">
        <v>288</v>
      </c>
      <c r="B47" s="25" t="s">
        <v>238</v>
      </c>
      <c r="C47" s="22"/>
    </row>
    <row r="48" spans="1:3" x14ac:dyDescent="0.35">
      <c r="A48" t="s">
        <v>289</v>
      </c>
      <c r="B48" s="25" t="s">
        <v>242</v>
      </c>
      <c r="C48" s="22"/>
    </row>
    <row r="51" spans="1:3" x14ac:dyDescent="0.35">
      <c r="B51" s="38" t="s">
        <v>172</v>
      </c>
      <c r="C51" s="39"/>
    </row>
    <row r="52" spans="1:3" x14ac:dyDescent="0.3">
      <c r="B52" s="36" t="s">
        <v>179</v>
      </c>
      <c r="C52" s="37"/>
    </row>
    <row r="53" spans="1:3" x14ac:dyDescent="0.35">
      <c r="A53" t="s">
        <v>291</v>
      </c>
      <c r="B53" s="23" t="s">
        <v>227</v>
      </c>
      <c r="C53" s="33"/>
    </row>
    <row r="54" spans="1:3" x14ac:dyDescent="0.35">
      <c r="A54" t="s">
        <v>290</v>
      </c>
      <c r="B54" s="25" t="s">
        <v>233</v>
      </c>
      <c r="C54" s="33"/>
    </row>
    <row r="57" spans="1:3" x14ac:dyDescent="0.35">
      <c r="B57" s="38" t="s">
        <v>173</v>
      </c>
      <c r="C57" s="39"/>
    </row>
    <row r="58" spans="1:3" x14ac:dyDescent="0.3">
      <c r="B58" s="34" t="s">
        <v>180</v>
      </c>
      <c r="C58" s="35"/>
    </row>
    <row r="59" spans="1:3" x14ac:dyDescent="0.35">
      <c r="A59" t="s">
        <v>292</v>
      </c>
      <c r="B59" s="23" t="s">
        <v>228</v>
      </c>
      <c r="C59" s="22"/>
    </row>
    <row r="60" spans="1:3" x14ac:dyDescent="0.35">
      <c r="A60" t="s">
        <v>293</v>
      </c>
      <c r="B60" s="25" t="s">
        <v>234</v>
      </c>
      <c r="C60" s="22"/>
    </row>
    <row r="61" spans="1:3" x14ac:dyDescent="0.35">
      <c r="A61" t="s">
        <v>294</v>
      </c>
      <c r="B61" s="25" t="s">
        <v>239</v>
      </c>
      <c r="C61" s="22"/>
    </row>
    <row r="62" spans="1:3" x14ac:dyDescent="0.35">
      <c r="A62" t="s">
        <v>295</v>
      </c>
      <c r="B62" s="25" t="s">
        <v>243</v>
      </c>
      <c r="C62" s="22"/>
    </row>
    <row r="63" spans="1:3" x14ac:dyDescent="0.35">
      <c r="A63" t="s">
        <v>296</v>
      </c>
      <c r="B63" s="25" t="s">
        <v>246</v>
      </c>
      <c r="C63" s="22"/>
    </row>
    <row r="64" spans="1:3" x14ac:dyDescent="0.35">
      <c r="A64" t="s">
        <v>297</v>
      </c>
      <c r="B64" s="25" t="s">
        <v>249</v>
      </c>
      <c r="C64" s="22"/>
    </row>
    <row r="65" spans="2:3" x14ac:dyDescent="0.35">
      <c r="B65" s="25" t="s">
        <v>250</v>
      </c>
      <c r="C65" s="22"/>
    </row>
    <row r="66" spans="2:3" x14ac:dyDescent="0.35">
      <c r="B66" s="25" t="s">
        <v>252</v>
      </c>
      <c r="C66" s="22"/>
    </row>
    <row r="67" spans="2:3" x14ac:dyDescent="0.35">
      <c r="B67" s="25" t="s">
        <v>254</v>
      </c>
      <c r="C67" s="22"/>
    </row>
    <row r="68" spans="2:3" x14ac:dyDescent="0.35">
      <c r="B68" s="25" t="s">
        <v>255</v>
      </c>
      <c r="C68" s="22"/>
    </row>
    <row r="69" spans="2:3" x14ac:dyDescent="0.35">
      <c r="B69" s="25" t="s">
        <v>256</v>
      </c>
      <c r="C69" s="22"/>
    </row>
    <row r="70" spans="2:3" x14ac:dyDescent="0.35">
      <c r="B70" s="25" t="s">
        <v>257</v>
      </c>
      <c r="C70" s="22"/>
    </row>
    <row r="71" spans="2:3" x14ac:dyDescent="0.35">
      <c r="B71" s="25" t="s">
        <v>258</v>
      </c>
      <c r="C71" s="22"/>
    </row>
    <row r="72" spans="2:3" x14ac:dyDescent="0.35">
      <c r="B72" s="25" t="s">
        <v>259</v>
      </c>
      <c r="C72" s="22"/>
    </row>
  </sheetData>
  <mergeCells count="16">
    <mergeCell ref="B52:C52"/>
    <mergeCell ref="B58:C58"/>
    <mergeCell ref="B2:C2"/>
    <mergeCell ref="B8:C8"/>
    <mergeCell ref="B15:C15"/>
    <mergeCell ref="B20:C20"/>
    <mergeCell ref="B30:C30"/>
    <mergeCell ref="B43:C43"/>
    <mergeCell ref="B51:C51"/>
    <mergeCell ref="B57:C57"/>
    <mergeCell ref="B4:C4"/>
    <mergeCell ref="B9:C9"/>
    <mergeCell ref="B16:C16"/>
    <mergeCell ref="B21:C21"/>
    <mergeCell ref="B31:C31"/>
    <mergeCell ref="B44:C44"/>
  </mergeCells>
  <phoneticPr fontId="3" type="noConversion"/>
  <pageMargins left="0.7" right="0.7" top="0.75" bottom="0.75" header="0.3" footer="0.3"/>
  <pageSetup scale="49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0832-0DE5-402B-A661-2F62199C3A4E}">
  <sheetPr>
    <pageSetUpPr fitToPage="1"/>
  </sheetPr>
  <dimension ref="A1:G42"/>
  <sheetViews>
    <sheetView zoomScale="200" zoomScaleNormal="200" workbookViewId="0">
      <selection activeCell="D1" sqref="D1"/>
    </sheetView>
    <sheetView workbookViewId="1"/>
  </sheetViews>
  <sheetFormatPr defaultColWidth="8.6640625" defaultRowHeight="14.4" x14ac:dyDescent="0.3"/>
  <cols>
    <col min="1" max="1" width="11.109375" customWidth="1"/>
    <col min="2" max="2" width="24.44140625" bestFit="1" customWidth="1"/>
    <col min="3" max="3" width="25" customWidth="1"/>
    <col min="4" max="4" width="19.6640625" style="1" bestFit="1" customWidth="1"/>
    <col min="6" max="6" width="10" customWidth="1"/>
    <col min="7" max="7" width="13.6640625" style="1" bestFit="1" customWidth="1"/>
  </cols>
  <sheetData>
    <row r="1" spans="1:7" ht="43.2" x14ac:dyDescent="0.3">
      <c r="A1" s="2" t="s">
        <v>99</v>
      </c>
      <c r="B1" s="2" t="s">
        <v>62</v>
      </c>
      <c r="C1" s="2" t="s">
        <v>151</v>
      </c>
      <c r="D1" s="2" t="s">
        <v>98</v>
      </c>
      <c r="E1" s="2" t="s">
        <v>160</v>
      </c>
      <c r="F1" s="5" t="s">
        <v>163</v>
      </c>
      <c r="G1" s="2" t="s">
        <v>138</v>
      </c>
    </row>
    <row r="2" spans="1:7" s="8" customFormat="1" x14ac:dyDescent="0.3">
      <c r="A2" s="6">
        <v>1</v>
      </c>
      <c r="B2" s="6" t="s">
        <v>23</v>
      </c>
      <c r="C2" s="7" t="s">
        <v>77</v>
      </c>
      <c r="D2" s="6" t="s">
        <v>24</v>
      </c>
      <c r="E2" s="6" t="s">
        <v>162</v>
      </c>
      <c r="F2" s="6" t="s">
        <v>164</v>
      </c>
      <c r="G2" s="6" t="s">
        <v>137</v>
      </c>
    </row>
    <row r="3" spans="1:7" x14ac:dyDescent="0.3">
      <c r="A3" s="9">
        <v>2</v>
      </c>
      <c r="B3" s="9" t="s">
        <v>27</v>
      </c>
      <c r="C3" s="10" t="s">
        <v>79</v>
      </c>
      <c r="D3" s="9" t="s">
        <v>28</v>
      </c>
      <c r="E3" s="9" t="s">
        <v>162</v>
      </c>
      <c r="F3" s="9" t="s">
        <v>164</v>
      </c>
      <c r="G3" s="9" t="s">
        <v>127</v>
      </c>
    </row>
    <row r="4" spans="1:7" s="8" customFormat="1" x14ac:dyDescent="0.3">
      <c r="A4" s="6">
        <v>3</v>
      </c>
      <c r="B4" s="6" t="s">
        <v>29</v>
      </c>
      <c r="C4" s="7" t="s">
        <v>80</v>
      </c>
      <c r="D4" s="6">
        <v>154</v>
      </c>
      <c r="E4" s="6" t="s">
        <v>162</v>
      </c>
      <c r="F4" s="6" t="s">
        <v>165</v>
      </c>
      <c r="G4" s="6" t="s">
        <v>117</v>
      </c>
    </row>
    <row r="5" spans="1:7" s="8" customFormat="1" x14ac:dyDescent="0.3">
      <c r="A5" s="6">
        <v>4</v>
      </c>
      <c r="B5" s="6" t="s">
        <v>19</v>
      </c>
      <c r="C5" s="7" t="s">
        <v>75</v>
      </c>
      <c r="D5" s="6" t="s">
        <v>20</v>
      </c>
      <c r="E5" s="6" t="s">
        <v>162</v>
      </c>
      <c r="F5" s="6" t="s">
        <v>164</v>
      </c>
      <c r="G5" s="6" t="s">
        <v>115</v>
      </c>
    </row>
    <row r="6" spans="1:7" s="8" customFormat="1" x14ac:dyDescent="0.3">
      <c r="A6" s="6">
        <v>5</v>
      </c>
      <c r="B6" s="6" t="s">
        <v>21</v>
      </c>
      <c r="C6" s="7" t="s">
        <v>76</v>
      </c>
      <c r="D6" s="6" t="s">
        <v>22</v>
      </c>
      <c r="E6" s="6" t="s">
        <v>162</v>
      </c>
      <c r="F6" s="6" t="s">
        <v>164</v>
      </c>
      <c r="G6" s="6" t="s">
        <v>126</v>
      </c>
    </row>
    <row r="7" spans="1:7" s="8" customFormat="1" x14ac:dyDescent="0.3">
      <c r="A7" s="6">
        <v>6</v>
      </c>
      <c r="B7" s="6" t="s">
        <v>18</v>
      </c>
      <c r="C7" s="7" t="s">
        <v>74</v>
      </c>
      <c r="D7" s="6" t="s">
        <v>149</v>
      </c>
      <c r="E7" s="6" t="s">
        <v>162</v>
      </c>
      <c r="F7" s="6" t="s">
        <v>164</v>
      </c>
      <c r="G7" s="6" t="s">
        <v>114</v>
      </c>
    </row>
    <row r="8" spans="1:7" x14ac:dyDescent="0.3">
      <c r="A8" s="9">
        <v>7</v>
      </c>
      <c r="B8" s="9" t="s">
        <v>25</v>
      </c>
      <c r="C8" s="10" t="s">
        <v>78</v>
      </c>
      <c r="D8" s="9" t="s">
        <v>26</v>
      </c>
      <c r="E8" s="9" t="s">
        <v>162</v>
      </c>
      <c r="F8" s="9" t="s">
        <v>164</v>
      </c>
      <c r="G8" s="9" t="s">
        <v>116</v>
      </c>
    </row>
    <row r="9" spans="1:7" x14ac:dyDescent="0.3">
      <c r="A9" s="9">
        <v>8</v>
      </c>
      <c r="B9" s="9" t="s">
        <v>46</v>
      </c>
      <c r="C9" s="10" t="s">
        <v>90</v>
      </c>
      <c r="D9" s="9" t="s">
        <v>47</v>
      </c>
      <c r="E9" s="9" t="s">
        <v>162</v>
      </c>
      <c r="F9" s="9" t="s">
        <v>164</v>
      </c>
      <c r="G9" s="9" t="s">
        <v>130</v>
      </c>
    </row>
    <row r="10" spans="1:7" s="11" customFormat="1" x14ac:dyDescent="0.3">
      <c r="A10" s="9">
        <v>9</v>
      </c>
      <c r="B10" s="9" t="s">
        <v>45</v>
      </c>
      <c r="C10" s="10" t="s">
        <v>139</v>
      </c>
      <c r="D10" s="9" t="s">
        <v>155</v>
      </c>
      <c r="E10" s="9" t="s">
        <v>162</v>
      </c>
      <c r="F10" s="9" t="s">
        <v>164</v>
      </c>
      <c r="G10" s="9" t="s">
        <v>123</v>
      </c>
    </row>
    <row r="11" spans="1:7" x14ac:dyDescent="0.3">
      <c r="A11" s="9">
        <v>10</v>
      </c>
      <c r="B11" s="9" t="s">
        <v>42</v>
      </c>
      <c r="C11" s="10" t="s">
        <v>88</v>
      </c>
      <c r="D11" s="9" t="s">
        <v>156</v>
      </c>
      <c r="E11" s="9" t="s">
        <v>162</v>
      </c>
      <c r="F11" s="9" t="s">
        <v>164</v>
      </c>
      <c r="G11" s="9" t="s">
        <v>121</v>
      </c>
    </row>
    <row r="12" spans="1:7" s="8" customFormat="1" x14ac:dyDescent="0.3">
      <c r="A12" s="6">
        <v>11</v>
      </c>
      <c r="B12" s="6" t="s">
        <v>43</v>
      </c>
      <c r="C12" s="7" t="s">
        <v>89</v>
      </c>
      <c r="D12" s="6" t="s">
        <v>44</v>
      </c>
      <c r="E12" s="6" t="s">
        <v>162</v>
      </c>
      <c r="F12" s="6" t="s">
        <v>164</v>
      </c>
      <c r="G12" s="6" t="s">
        <v>122</v>
      </c>
    </row>
    <row r="13" spans="1:7" x14ac:dyDescent="0.3">
      <c r="A13" s="9">
        <v>12</v>
      </c>
      <c r="B13" s="9" t="s">
        <v>39</v>
      </c>
      <c r="C13" s="10" t="s">
        <v>87</v>
      </c>
      <c r="D13" s="9" t="s">
        <v>40</v>
      </c>
      <c r="E13" s="9" t="s">
        <v>162</v>
      </c>
      <c r="F13" s="9" t="s">
        <v>164</v>
      </c>
      <c r="G13" s="9" t="s">
        <v>120</v>
      </c>
    </row>
    <row r="14" spans="1:7" s="8" customFormat="1" x14ac:dyDescent="0.3">
      <c r="A14" s="6">
        <v>13</v>
      </c>
      <c r="B14" s="6" t="s">
        <v>30</v>
      </c>
      <c r="C14" s="7" t="s">
        <v>81</v>
      </c>
      <c r="D14" s="6" t="s">
        <v>31</v>
      </c>
      <c r="E14" s="6" t="s">
        <v>162</v>
      </c>
      <c r="F14" s="6" t="s">
        <v>164</v>
      </c>
      <c r="G14" s="6" t="s">
        <v>118</v>
      </c>
    </row>
    <row r="15" spans="1:7" s="11" customFormat="1" x14ac:dyDescent="0.3">
      <c r="A15" s="9">
        <v>14</v>
      </c>
      <c r="B15" s="9" t="s">
        <v>143</v>
      </c>
      <c r="C15" s="10" t="s">
        <v>101</v>
      </c>
      <c r="D15" s="9" t="s">
        <v>32</v>
      </c>
      <c r="E15" s="9" t="s">
        <v>162</v>
      </c>
      <c r="F15" s="9" t="s">
        <v>164</v>
      </c>
      <c r="G15" s="9" t="s">
        <v>152</v>
      </c>
    </row>
    <row r="16" spans="1:7" x14ac:dyDescent="0.3">
      <c r="A16" s="9">
        <v>15</v>
      </c>
      <c r="B16" s="9" t="s">
        <v>33</v>
      </c>
      <c r="C16" s="10" t="s">
        <v>82</v>
      </c>
      <c r="D16" s="9" t="s">
        <v>34</v>
      </c>
      <c r="E16" s="9" t="s">
        <v>162</v>
      </c>
      <c r="F16" s="9" t="s">
        <v>164</v>
      </c>
      <c r="G16" s="9" t="s">
        <v>128</v>
      </c>
    </row>
    <row r="17" spans="1:7" x14ac:dyDescent="0.3">
      <c r="A17" s="9">
        <v>16</v>
      </c>
      <c r="B17" s="9" t="s">
        <v>48</v>
      </c>
      <c r="C17" s="10" t="s">
        <v>91</v>
      </c>
      <c r="D17" s="9" t="s">
        <v>49</v>
      </c>
      <c r="E17" s="9" t="s">
        <v>162</v>
      </c>
      <c r="F17" s="9" t="s">
        <v>164</v>
      </c>
      <c r="G17" s="9" t="s">
        <v>102</v>
      </c>
    </row>
    <row r="18" spans="1:7" x14ac:dyDescent="0.3">
      <c r="A18" s="9">
        <v>17</v>
      </c>
      <c r="B18" s="9" t="s">
        <v>50</v>
      </c>
      <c r="C18" s="10" t="s">
        <v>92</v>
      </c>
      <c r="D18" s="9" t="s">
        <v>51</v>
      </c>
      <c r="E18" s="9" t="s">
        <v>162</v>
      </c>
      <c r="F18" s="9" t="s">
        <v>164</v>
      </c>
      <c r="G18" s="9" t="s">
        <v>124</v>
      </c>
    </row>
    <row r="19" spans="1:7" x14ac:dyDescent="0.3">
      <c r="A19" s="9">
        <v>18</v>
      </c>
      <c r="B19" s="9" t="s">
        <v>54</v>
      </c>
      <c r="C19" s="10" t="s">
        <v>94</v>
      </c>
      <c r="D19" s="9" t="s">
        <v>55</v>
      </c>
      <c r="E19" s="9" t="s">
        <v>162</v>
      </c>
      <c r="F19" s="9" t="s">
        <v>164</v>
      </c>
      <c r="G19" s="9" t="s">
        <v>132</v>
      </c>
    </row>
    <row r="20" spans="1:7" s="8" customFormat="1" x14ac:dyDescent="0.3">
      <c r="A20" s="6">
        <v>19</v>
      </c>
      <c r="B20" s="6" t="s">
        <v>52</v>
      </c>
      <c r="C20" s="7" t="s">
        <v>93</v>
      </c>
      <c r="D20" s="6" t="s">
        <v>53</v>
      </c>
      <c r="E20" s="6" t="s">
        <v>162</v>
      </c>
      <c r="F20" s="6" t="s">
        <v>164</v>
      </c>
      <c r="G20" s="6" t="s">
        <v>131</v>
      </c>
    </row>
    <row r="21" spans="1:7" x14ac:dyDescent="0.3">
      <c r="A21" s="9">
        <v>20</v>
      </c>
      <c r="B21" s="9" t="s">
        <v>58</v>
      </c>
      <c r="C21" s="10" t="s">
        <v>96</v>
      </c>
      <c r="D21" s="9" t="s">
        <v>59</v>
      </c>
      <c r="E21" s="9" t="s">
        <v>162</v>
      </c>
      <c r="F21" s="9" t="s">
        <v>164</v>
      </c>
      <c r="G21" s="9" t="s">
        <v>135</v>
      </c>
    </row>
    <row r="22" spans="1:7" x14ac:dyDescent="0.3">
      <c r="A22" s="9">
        <v>21</v>
      </c>
      <c r="B22" s="9" t="s">
        <v>60</v>
      </c>
      <c r="C22" s="10" t="s">
        <v>97</v>
      </c>
      <c r="D22" s="9" t="s">
        <v>61</v>
      </c>
      <c r="E22" s="9" t="s">
        <v>162</v>
      </c>
      <c r="F22" s="9" t="s">
        <v>164</v>
      </c>
      <c r="G22" s="9" t="s">
        <v>134</v>
      </c>
    </row>
    <row r="23" spans="1:7" s="8" customFormat="1" x14ac:dyDescent="0.3">
      <c r="A23" s="6">
        <v>22</v>
      </c>
      <c r="B23" s="6" t="s">
        <v>146</v>
      </c>
      <c r="C23" s="7" t="s">
        <v>147</v>
      </c>
      <c r="D23" s="6">
        <v>258</v>
      </c>
      <c r="E23" s="6" t="s">
        <v>162</v>
      </c>
      <c r="F23" s="6" t="s">
        <v>164</v>
      </c>
      <c r="G23" s="6" t="s">
        <v>148</v>
      </c>
    </row>
    <row r="24" spans="1:7" s="8" customFormat="1" x14ac:dyDescent="0.3">
      <c r="A24" s="6">
        <v>23</v>
      </c>
      <c r="B24" s="6" t="s">
        <v>37</v>
      </c>
      <c r="C24" s="7" t="s">
        <v>85</v>
      </c>
      <c r="D24" s="6" t="s">
        <v>38</v>
      </c>
      <c r="E24" s="6" t="s">
        <v>162</v>
      </c>
      <c r="F24" s="6" t="s">
        <v>164</v>
      </c>
      <c r="G24" s="6" t="s">
        <v>119</v>
      </c>
    </row>
    <row r="25" spans="1:7" s="8" customFormat="1" x14ac:dyDescent="0.3">
      <c r="A25" s="6">
        <v>24</v>
      </c>
      <c r="B25" s="6" t="s">
        <v>35</v>
      </c>
      <c r="C25" s="7" t="s">
        <v>84</v>
      </c>
      <c r="D25" s="6" t="s">
        <v>36</v>
      </c>
      <c r="E25" s="6" t="s">
        <v>162</v>
      </c>
      <c r="F25" s="6" t="s">
        <v>164</v>
      </c>
      <c r="G25" s="6" t="s">
        <v>136</v>
      </c>
    </row>
    <row r="26" spans="1:7" x14ac:dyDescent="0.3">
      <c r="A26" s="9">
        <v>25</v>
      </c>
      <c r="B26" s="9" t="s">
        <v>157</v>
      </c>
      <c r="C26" s="10" t="s">
        <v>159</v>
      </c>
      <c r="D26" s="9">
        <v>216</v>
      </c>
      <c r="E26" s="9" t="s">
        <v>162</v>
      </c>
      <c r="F26" s="9" t="s">
        <v>165</v>
      </c>
      <c r="G26" s="9" t="s">
        <v>158</v>
      </c>
    </row>
    <row r="27" spans="1:7" s="8" customFormat="1" x14ac:dyDescent="0.3">
      <c r="A27" s="6">
        <v>26</v>
      </c>
      <c r="B27" s="6" t="s">
        <v>140</v>
      </c>
      <c r="C27" s="6" t="s">
        <v>142</v>
      </c>
      <c r="D27" s="6">
        <v>312</v>
      </c>
      <c r="E27" s="6" t="s">
        <v>162</v>
      </c>
      <c r="F27" s="6" t="s">
        <v>164</v>
      </c>
      <c r="G27" s="6" t="s">
        <v>141</v>
      </c>
    </row>
    <row r="28" spans="1:7" s="8" customFormat="1" x14ac:dyDescent="0.3">
      <c r="A28" s="6">
        <v>27</v>
      </c>
      <c r="B28" s="6" t="s">
        <v>153</v>
      </c>
      <c r="C28" s="7" t="s">
        <v>83</v>
      </c>
      <c r="D28" s="6">
        <v>223</v>
      </c>
      <c r="E28" s="6" t="s">
        <v>162</v>
      </c>
      <c r="F28" s="6" t="s">
        <v>164</v>
      </c>
      <c r="G28" s="6" t="s">
        <v>105</v>
      </c>
    </row>
    <row r="29" spans="1:7" s="11" customFormat="1" x14ac:dyDescent="0.3">
      <c r="A29" s="9">
        <v>28</v>
      </c>
      <c r="B29" s="9" t="s">
        <v>41</v>
      </c>
      <c r="C29" s="10" t="s">
        <v>86</v>
      </c>
      <c r="D29" s="9">
        <v>280</v>
      </c>
      <c r="E29" s="9" t="s">
        <v>162</v>
      </c>
      <c r="F29" s="9" t="s">
        <v>164</v>
      </c>
      <c r="G29" s="9" t="s">
        <v>129</v>
      </c>
    </row>
    <row r="30" spans="1:7" s="8" customFormat="1" x14ac:dyDescent="0.3">
      <c r="A30" s="6">
        <v>29</v>
      </c>
      <c r="B30" s="6" t="s">
        <v>56</v>
      </c>
      <c r="C30" s="7" t="s">
        <v>95</v>
      </c>
      <c r="D30" s="6" t="s">
        <v>57</v>
      </c>
      <c r="E30" s="6" t="s">
        <v>162</v>
      </c>
      <c r="F30" s="6" t="s">
        <v>164</v>
      </c>
      <c r="G30" s="6" t="s">
        <v>133</v>
      </c>
    </row>
    <row r="31" spans="1:7" x14ac:dyDescent="0.3">
      <c r="A31" s="9">
        <v>30</v>
      </c>
      <c r="B31" s="9" t="s">
        <v>8</v>
      </c>
      <c r="C31" s="10" t="s">
        <v>69</v>
      </c>
      <c r="D31" s="9" t="s">
        <v>7</v>
      </c>
      <c r="E31" s="9" t="s">
        <v>161</v>
      </c>
      <c r="F31" s="9" t="s">
        <v>164</v>
      </c>
      <c r="G31" s="9" t="s">
        <v>108</v>
      </c>
    </row>
    <row r="32" spans="1:7" x14ac:dyDescent="0.3">
      <c r="A32" s="9">
        <v>31</v>
      </c>
      <c r="B32" s="9" t="s">
        <v>150</v>
      </c>
      <c r="C32" s="10" t="s">
        <v>68</v>
      </c>
      <c r="D32" s="9" t="s">
        <v>6</v>
      </c>
      <c r="E32" s="9" t="s">
        <v>161</v>
      </c>
      <c r="F32" s="9" t="s">
        <v>164</v>
      </c>
      <c r="G32" s="9" t="s">
        <v>125</v>
      </c>
    </row>
    <row r="33" spans="1:7" s="8" customFormat="1" x14ac:dyDescent="0.3">
      <c r="A33" s="6">
        <v>32</v>
      </c>
      <c r="B33" s="6" t="s">
        <v>15</v>
      </c>
      <c r="C33" s="7" t="s">
        <v>72</v>
      </c>
      <c r="D33" s="6">
        <v>108</v>
      </c>
      <c r="E33" s="6" t="s">
        <v>161</v>
      </c>
      <c r="F33" s="6" t="s">
        <v>165</v>
      </c>
      <c r="G33" s="6" t="s">
        <v>112</v>
      </c>
    </row>
    <row r="34" spans="1:7" s="8" customFormat="1" x14ac:dyDescent="0.3">
      <c r="A34" s="6">
        <v>33</v>
      </c>
      <c r="B34" s="6" t="s">
        <v>9</v>
      </c>
      <c r="C34" s="7" t="s">
        <v>70</v>
      </c>
      <c r="D34" s="6" t="s">
        <v>10</v>
      </c>
      <c r="E34" s="6" t="s">
        <v>161</v>
      </c>
      <c r="F34" s="6" t="s">
        <v>164</v>
      </c>
      <c r="G34" s="6" t="s">
        <v>109</v>
      </c>
    </row>
    <row r="35" spans="1:7" s="11" customFormat="1" x14ac:dyDescent="0.3">
      <c r="A35" s="9">
        <v>34</v>
      </c>
      <c r="B35" s="9" t="s">
        <v>13</v>
      </c>
      <c r="C35" s="10" t="s">
        <v>100</v>
      </c>
      <c r="D35" s="9" t="s">
        <v>14</v>
      </c>
      <c r="E35" s="9" t="s">
        <v>161</v>
      </c>
      <c r="F35" s="9" t="s">
        <v>164</v>
      </c>
      <c r="G35" s="9" t="s">
        <v>111</v>
      </c>
    </row>
    <row r="36" spans="1:7" x14ac:dyDescent="0.3">
      <c r="A36" s="9">
        <v>35</v>
      </c>
      <c r="B36" s="9" t="s">
        <v>11</v>
      </c>
      <c r="C36" s="10" t="s">
        <v>71</v>
      </c>
      <c r="D36" s="9" t="s">
        <v>12</v>
      </c>
      <c r="E36" s="9" t="s">
        <v>161</v>
      </c>
      <c r="F36" s="9" t="s">
        <v>164</v>
      </c>
      <c r="G36" s="9" t="s">
        <v>110</v>
      </c>
    </row>
    <row r="37" spans="1:7" s="8" customFormat="1" x14ac:dyDescent="0.3">
      <c r="A37" s="6">
        <v>36</v>
      </c>
      <c r="B37" s="6" t="s">
        <v>5</v>
      </c>
      <c r="C37" s="7" t="s">
        <v>67</v>
      </c>
      <c r="D37" s="6" t="s">
        <v>4</v>
      </c>
      <c r="E37" s="6" t="s">
        <v>161</v>
      </c>
      <c r="F37" s="6" t="s">
        <v>164</v>
      </c>
      <c r="G37" s="6" t="s">
        <v>107</v>
      </c>
    </row>
    <row r="38" spans="1:7" s="8" customFormat="1" x14ac:dyDescent="0.3">
      <c r="A38" s="6">
        <v>37</v>
      </c>
      <c r="B38" s="6" t="s">
        <v>3</v>
      </c>
      <c r="C38" s="7" t="s">
        <v>66</v>
      </c>
      <c r="D38" s="6" t="s">
        <v>2</v>
      </c>
      <c r="E38" s="6" t="s">
        <v>161</v>
      </c>
      <c r="F38" s="6" t="s">
        <v>164</v>
      </c>
      <c r="G38" s="6" t="s">
        <v>106</v>
      </c>
    </row>
    <row r="39" spans="1:7" s="8" customFormat="1" x14ac:dyDescent="0.3">
      <c r="A39" s="6">
        <v>38</v>
      </c>
      <c r="B39" s="6" t="s">
        <v>63</v>
      </c>
      <c r="C39" s="7" t="s">
        <v>65</v>
      </c>
      <c r="D39" s="6" t="s">
        <v>1</v>
      </c>
      <c r="E39" s="6" t="s">
        <v>161</v>
      </c>
      <c r="F39" s="6" t="s">
        <v>164</v>
      </c>
      <c r="G39" s="6" t="s">
        <v>104</v>
      </c>
    </row>
    <row r="40" spans="1:7" s="8" customFormat="1" x14ac:dyDescent="0.3">
      <c r="A40" s="6">
        <v>39</v>
      </c>
      <c r="B40" s="6" t="s">
        <v>154</v>
      </c>
      <c r="C40" s="7" t="s">
        <v>64</v>
      </c>
      <c r="D40" s="6" t="s">
        <v>0</v>
      </c>
      <c r="E40" s="6" t="s">
        <v>161</v>
      </c>
      <c r="F40" s="6" t="s">
        <v>164</v>
      </c>
      <c r="G40" s="6" t="s">
        <v>103</v>
      </c>
    </row>
    <row r="41" spans="1:7" x14ac:dyDescent="0.3">
      <c r="A41" s="9">
        <v>40</v>
      </c>
      <c r="B41" s="9" t="s">
        <v>16</v>
      </c>
      <c r="C41" s="10" t="s">
        <v>73</v>
      </c>
      <c r="D41" s="9" t="s">
        <v>17</v>
      </c>
      <c r="E41" s="9" t="s">
        <v>161</v>
      </c>
      <c r="F41" s="9" t="s">
        <v>164</v>
      </c>
      <c r="G41" s="9" t="s">
        <v>113</v>
      </c>
    </row>
    <row r="42" spans="1:7" hidden="1" x14ac:dyDescent="0.3">
      <c r="B42" s="3" t="s">
        <v>145</v>
      </c>
      <c r="F42" s="4" t="s">
        <v>164</v>
      </c>
      <c r="G42" s="3" t="s">
        <v>144</v>
      </c>
    </row>
  </sheetData>
  <sortState xmlns:xlrd2="http://schemas.microsoft.com/office/spreadsheetml/2017/richdata2" ref="B2:F41">
    <sortCondition ref="E2:E41"/>
    <sortCondition ref="C2:C41"/>
  </sortState>
  <pageMargins left="0.25" right="0.25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A1303F-6C9C-4B8F-8ADA-BB41FFA85F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FOR1001 Trees (2)</vt:lpstr>
      <vt:lpstr>Groups </vt:lpstr>
      <vt:lpstr>FOR1001 Trees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 Ogilvie</dc:creator>
  <cp:lastModifiedBy>Jessica Cannard</cp:lastModifiedBy>
  <cp:lastPrinted>2026-09-23T15:03:16Z</cp:lastPrinted>
  <dcterms:created xsi:type="dcterms:W3CDTF">2021-08-05T17:20:15Z</dcterms:created>
  <dcterms:modified xsi:type="dcterms:W3CDTF">2026-09-23T15:12:00Z</dcterms:modified>
</cp:coreProperties>
</file>